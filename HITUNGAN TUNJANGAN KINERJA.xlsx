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Z:\KALIDENGEN CLOUD\PAMONG CARIK MUSTOFA\Tahun 2026\BAHAN TUKIN\TUKIN JANTEN\"/>
    </mc:Choice>
  </mc:AlternateContent>
  <xr:revisionPtr revIDLastSave="0" documentId="13_ncr:1_{B0804F66-0546-4612-AA12-BA5CBF5CB28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E22" i="1"/>
  <c r="I3" i="1"/>
  <c r="I15" i="1"/>
  <c r="E15" i="1" l="1"/>
  <c r="G22" i="1"/>
  <c r="F22" i="1"/>
  <c r="F3" i="1"/>
  <c r="F15" i="1"/>
  <c r="E3" i="1"/>
  <c r="E2" i="1"/>
  <c r="F20" i="1"/>
  <c r="F17" i="1"/>
  <c r="F4" i="1"/>
  <c r="F5" i="1"/>
  <c r="F8" i="1"/>
  <c r="F9" i="1"/>
  <c r="F14" i="1"/>
  <c r="F2" i="1"/>
  <c r="I6" i="2"/>
  <c r="G6" i="2"/>
  <c r="E6" i="2"/>
  <c r="I5" i="2"/>
  <c r="G5" i="2"/>
  <c r="E5" i="2"/>
  <c r="I4" i="2"/>
  <c r="G4" i="2"/>
  <c r="E4" i="2"/>
  <c r="I3" i="2"/>
  <c r="G3" i="2"/>
  <c r="E3" i="2"/>
  <c r="I2" i="2"/>
  <c r="G2" i="2"/>
  <c r="E2" i="2"/>
  <c r="E21" i="1"/>
  <c r="F21" i="1" s="1"/>
  <c r="E20" i="1"/>
  <c r="E19" i="1"/>
  <c r="F19" i="1" s="1"/>
  <c r="E18" i="1"/>
  <c r="F18" i="1" s="1"/>
  <c r="E17" i="1"/>
  <c r="E14" i="1"/>
  <c r="E13" i="1"/>
  <c r="F13" i="1" s="1"/>
  <c r="E12" i="1"/>
  <c r="F12" i="1" s="1"/>
  <c r="E11" i="1"/>
  <c r="F11" i="1" s="1"/>
  <c r="E10" i="1"/>
  <c r="F10" i="1" s="1"/>
  <c r="E9" i="1"/>
  <c r="E8" i="1"/>
  <c r="E7" i="1"/>
  <c r="F7" i="1" s="1"/>
  <c r="E6" i="1"/>
  <c r="F6" i="1" s="1"/>
  <c r="E5" i="1"/>
  <c r="E4" i="1"/>
</calcChain>
</file>

<file path=xl/sharedStrings.xml><?xml version="1.0" encoding="utf-8"?>
<sst xmlns="http://schemas.openxmlformats.org/spreadsheetml/2006/main" count="37" uniqueCount="31">
  <si>
    <t>NO</t>
  </si>
  <si>
    <t>NAMA</t>
  </si>
  <si>
    <t>SELISIH KENAIKAN SILTAP</t>
  </si>
  <si>
    <t>BULAN</t>
  </si>
  <si>
    <t>JUMLAH SELISIH</t>
  </si>
  <si>
    <t>MAKSIMAL TUNKIN PER BULAN</t>
  </si>
  <si>
    <t>LURAH</t>
  </si>
  <si>
    <t>CARIK</t>
  </si>
  <si>
    <t>DANARTO</t>
  </si>
  <si>
    <t>PALAPA</t>
  </si>
  <si>
    <t>JAGABAYA</t>
  </si>
  <si>
    <t>ULU-ULU</t>
  </si>
  <si>
    <t>KAMTUWA</t>
  </si>
  <si>
    <t>DUKUH I</t>
  </si>
  <si>
    <t>DUKUH II</t>
  </si>
  <si>
    <t>DUKUH III</t>
  </si>
  <si>
    <t>DUKUH IV</t>
  </si>
  <si>
    <t>DUKUH V</t>
  </si>
  <si>
    <t>BAMUSKAL</t>
  </si>
  <si>
    <t>KETUA</t>
  </si>
  <si>
    <t>WAKIL KETUA</t>
  </si>
  <si>
    <t>SEKRETARIS</t>
  </si>
  <si>
    <t>KETUA BIDANG</t>
  </si>
  <si>
    <t>JUMLAH</t>
  </si>
  <si>
    <t>JABATAN</t>
  </si>
  <si>
    <t>SILTAP 2025 (RP)</t>
  </si>
  <si>
    <t>SILTAP 2026 (RP)</t>
  </si>
  <si>
    <t>SELISIH (RP)</t>
  </si>
  <si>
    <t>KAUR/KASI</t>
  </si>
  <si>
    <t>DUKUH</t>
  </si>
  <si>
    <t>STAF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</si>
</sst>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  <font>
      <sz val="11"/>
      <color theme="1"/>
      <name val="Calibri"/>
      <charset val="134"/>
      <scheme val="minor"/>
    </font>
    <font>
      <b/>
      <sz val="12"/>
      <color theme="1"/>
      <name val="Bookman Old Style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165" fontId="0" fillId="0" borderId="0" xfId="1" applyNumberFormat="1" applyFont="1"/>
    <xf numFmtId="165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/>
    <xf numFmtId="165" fontId="2" fillId="0" borderId="1" xfId="1" applyNumberFormat="1" applyFont="1" applyBorder="1"/>
    <xf numFmtId="165" fontId="2" fillId="0" borderId="1" xfId="0" applyNumberFormat="1" applyFont="1" applyBorder="1"/>
    <xf numFmtId="165" fontId="5" fillId="2" borderId="0" xfId="0" applyNumberFormat="1" applyFont="1" applyFill="1"/>
    <xf numFmtId="0" fontId="6" fillId="0" borderId="0" xfId="0" applyFont="1"/>
    <xf numFmtId="165" fontId="5" fillId="2" borderId="4" xfId="0" applyNumberFormat="1" applyFont="1" applyFill="1" applyBorder="1" applyAlignment="1"/>
    <xf numFmtId="165" fontId="5" fillId="2" borderId="1" xfId="0" applyNumberFormat="1" applyFont="1" applyFill="1" applyBorder="1"/>
    <xf numFmtId="165" fontId="6" fillId="0" borderId="0" xfId="0" applyNumberFormat="1" applyFont="1"/>
    <xf numFmtId="43" fontId="6" fillId="0" borderId="0" xfId="1" applyFont="1"/>
    <xf numFmtId="4" fontId="6" fillId="0" borderId="0" xfId="0" applyNumberFormat="1" applyFont="1"/>
    <xf numFmtId="164" fontId="6" fillId="0" borderId="0" xfId="0" applyNumberFormat="1" applyFont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C1" workbookViewId="0">
      <selection activeCell="H22" sqref="H22"/>
    </sheetView>
  </sheetViews>
  <sheetFormatPr defaultColWidth="9" defaultRowHeight="15.6"/>
  <cols>
    <col min="1" max="1" width="4.6640625" style="4" customWidth="1"/>
    <col min="2" max="2" width="31.88671875" style="4" customWidth="1"/>
    <col min="3" max="3" width="21.44140625" style="4" customWidth="1"/>
    <col min="4" max="4" width="10.44140625" style="4" customWidth="1"/>
    <col min="5" max="5" width="18" style="4" customWidth="1"/>
    <col min="6" max="6" width="30.5546875" style="4" customWidth="1"/>
    <col min="7" max="7" width="14.33203125" bestFit="1" customWidth="1"/>
    <col min="8" max="8" width="15.33203125" bestFit="1" customWidth="1"/>
    <col min="9" max="9" width="14.33203125" bestFit="1" customWidth="1"/>
  </cols>
  <sheetData>
    <row r="1" spans="1:9" ht="46.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>
      <c r="A2" s="6">
        <v>1</v>
      </c>
      <c r="B2" s="6" t="s">
        <v>6</v>
      </c>
      <c r="C2" s="7">
        <v>446000</v>
      </c>
      <c r="D2" s="6">
        <v>14</v>
      </c>
      <c r="E2" s="8">
        <f>C2*D2</f>
        <v>6244000</v>
      </c>
      <c r="F2" s="8">
        <f>E2/4</f>
        <v>1561000</v>
      </c>
    </row>
    <row r="3" spans="1:9" s="10" customFormat="1">
      <c r="A3" s="20" t="s">
        <v>23</v>
      </c>
      <c r="B3" s="21"/>
      <c r="C3" s="21"/>
      <c r="D3" s="21"/>
      <c r="E3" s="11">
        <f>SUM(E2)</f>
        <v>6244000</v>
      </c>
      <c r="F3" s="12">
        <f>SUM(F2)</f>
        <v>1561000</v>
      </c>
      <c r="G3" s="14">
        <v>12868224</v>
      </c>
      <c r="H3" s="13">
        <v>5352000</v>
      </c>
      <c r="I3" s="16">
        <f>G3+H3</f>
        <v>18220224</v>
      </c>
    </row>
    <row r="4" spans="1:9">
      <c r="A4" s="6">
        <v>2</v>
      </c>
      <c r="B4" s="6" t="s">
        <v>7</v>
      </c>
      <c r="C4" s="7">
        <v>395700</v>
      </c>
      <c r="D4" s="6">
        <v>14</v>
      </c>
      <c r="E4" s="8">
        <f t="shared" ref="E4:E21" si="0">C4*D4</f>
        <v>5539800</v>
      </c>
      <c r="F4" s="8">
        <f t="shared" ref="F4:F14" si="1">E4/4</f>
        <v>1384950</v>
      </c>
    </row>
    <row r="5" spans="1:9">
      <c r="A5" s="6">
        <v>3</v>
      </c>
      <c r="B5" s="6" t="s">
        <v>8</v>
      </c>
      <c r="C5" s="7">
        <v>349600</v>
      </c>
      <c r="D5" s="6">
        <v>14</v>
      </c>
      <c r="E5" s="8">
        <f t="shared" si="0"/>
        <v>4894400</v>
      </c>
      <c r="F5" s="8">
        <f t="shared" si="1"/>
        <v>1223600</v>
      </c>
    </row>
    <row r="6" spans="1:9">
      <c r="A6" s="6">
        <v>4</v>
      </c>
      <c r="B6" s="6" t="s">
        <v>9</v>
      </c>
      <c r="C6" s="7">
        <v>349600</v>
      </c>
      <c r="D6" s="6">
        <v>14</v>
      </c>
      <c r="E6" s="8">
        <f t="shared" si="0"/>
        <v>4894400</v>
      </c>
      <c r="F6" s="8">
        <f t="shared" si="1"/>
        <v>1223600</v>
      </c>
    </row>
    <row r="7" spans="1:9">
      <c r="A7" s="6">
        <v>5</v>
      </c>
      <c r="B7" s="6" t="s">
        <v>10</v>
      </c>
      <c r="C7" s="7">
        <v>349600</v>
      </c>
      <c r="D7" s="6">
        <v>14</v>
      </c>
      <c r="E7" s="8">
        <f t="shared" si="0"/>
        <v>4894400</v>
      </c>
      <c r="F7" s="8">
        <f t="shared" si="1"/>
        <v>1223600</v>
      </c>
    </row>
    <row r="8" spans="1:9">
      <c r="A8" s="6">
        <v>6</v>
      </c>
      <c r="B8" s="6" t="s">
        <v>11</v>
      </c>
      <c r="C8" s="7">
        <v>349600</v>
      </c>
      <c r="D8" s="6">
        <v>14</v>
      </c>
      <c r="E8" s="8">
        <f t="shared" si="0"/>
        <v>4894400</v>
      </c>
      <c r="F8" s="8">
        <f t="shared" si="1"/>
        <v>1223600</v>
      </c>
    </row>
    <row r="9" spans="1:9">
      <c r="A9" s="6">
        <v>7</v>
      </c>
      <c r="B9" s="6" t="s">
        <v>12</v>
      </c>
      <c r="C9" s="7">
        <v>349600</v>
      </c>
      <c r="D9" s="6">
        <v>14</v>
      </c>
      <c r="E9" s="8">
        <f t="shared" si="0"/>
        <v>4894400</v>
      </c>
      <c r="F9" s="8">
        <f t="shared" si="1"/>
        <v>1223600</v>
      </c>
    </row>
    <row r="10" spans="1:9">
      <c r="A10" s="6">
        <v>8</v>
      </c>
      <c r="B10" s="6" t="s">
        <v>13</v>
      </c>
      <c r="C10" s="7">
        <v>325800</v>
      </c>
      <c r="D10" s="6">
        <v>14</v>
      </c>
      <c r="E10" s="8">
        <f t="shared" si="0"/>
        <v>4561200</v>
      </c>
      <c r="F10" s="8">
        <f t="shared" si="1"/>
        <v>1140300</v>
      </c>
    </row>
    <row r="11" spans="1:9">
      <c r="A11" s="6">
        <v>9</v>
      </c>
      <c r="B11" s="6" t="s">
        <v>14</v>
      </c>
      <c r="C11" s="7">
        <v>325800</v>
      </c>
      <c r="D11" s="6">
        <v>14</v>
      </c>
      <c r="E11" s="8">
        <f t="shared" si="0"/>
        <v>4561200</v>
      </c>
      <c r="F11" s="8">
        <f t="shared" si="1"/>
        <v>1140300</v>
      </c>
    </row>
    <row r="12" spans="1:9">
      <c r="A12" s="6">
        <v>10</v>
      </c>
      <c r="B12" s="6" t="s">
        <v>15</v>
      </c>
      <c r="C12" s="7">
        <v>325800</v>
      </c>
      <c r="D12" s="6">
        <v>14</v>
      </c>
      <c r="E12" s="8">
        <f t="shared" si="0"/>
        <v>4561200</v>
      </c>
      <c r="F12" s="8">
        <f t="shared" si="1"/>
        <v>1140300</v>
      </c>
    </row>
    <row r="13" spans="1:9">
      <c r="A13" s="6">
        <v>11</v>
      </c>
      <c r="B13" s="6" t="s">
        <v>16</v>
      </c>
      <c r="C13" s="7">
        <v>325800</v>
      </c>
      <c r="D13" s="6">
        <v>14</v>
      </c>
      <c r="E13" s="8">
        <f t="shared" si="0"/>
        <v>4561200</v>
      </c>
      <c r="F13" s="8">
        <f t="shared" si="1"/>
        <v>1140300</v>
      </c>
    </row>
    <row r="14" spans="1:9">
      <c r="A14" s="6">
        <v>12</v>
      </c>
      <c r="B14" s="6" t="s">
        <v>17</v>
      </c>
      <c r="C14" s="7">
        <v>325800</v>
      </c>
      <c r="D14" s="6">
        <v>14</v>
      </c>
      <c r="E14" s="8">
        <f t="shared" si="0"/>
        <v>4561200</v>
      </c>
      <c r="F14" s="8">
        <f t="shared" si="1"/>
        <v>1140300</v>
      </c>
    </row>
    <row r="15" spans="1:9" s="10" customFormat="1">
      <c r="A15" s="20" t="s">
        <v>23</v>
      </c>
      <c r="B15" s="21"/>
      <c r="C15" s="21"/>
      <c r="D15" s="21"/>
      <c r="E15" s="9">
        <f>SUM(E4:E14)</f>
        <v>52817800</v>
      </c>
      <c r="F15" s="9">
        <f>SUM(F4:F14)</f>
        <v>13204450</v>
      </c>
      <c r="G15" s="15">
        <v>68417458</v>
      </c>
      <c r="H15" s="16">
        <v>54893552</v>
      </c>
      <c r="I15" s="13">
        <f>G15+H15</f>
        <v>123311010</v>
      </c>
    </row>
    <row r="16" spans="1:9">
      <c r="A16" s="17" t="s">
        <v>18</v>
      </c>
      <c r="B16" s="18"/>
      <c r="C16" s="18"/>
      <c r="D16" s="18"/>
      <c r="E16" s="18"/>
      <c r="F16" s="19"/>
    </row>
    <row r="17" spans="1:8">
      <c r="A17" s="6">
        <v>1</v>
      </c>
      <c r="B17" s="6" t="s">
        <v>19</v>
      </c>
      <c r="C17" s="7">
        <v>75000</v>
      </c>
      <c r="D17" s="6">
        <v>14</v>
      </c>
      <c r="E17" s="8">
        <f t="shared" si="0"/>
        <v>1050000</v>
      </c>
      <c r="F17" s="8">
        <f>E17/4</f>
        <v>262500</v>
      </c>
    </row>
    <row r="18" spans="1:8">
      <c r="A18" s="6">
        <v>2</v>
      </c>
      <c r="B18" s="6" t="s">
        <v>20</v>
      </c>
      <c r="C18" s="7">
        <v>50000</v>
      </c>
      <c r="D18" s="6">
        <v>14</v>
      </c>
      <c r="E18" s="8">
        <f t="shared" si="0"/>
        <v>700000</v>
      </c>
      <c r="F18" s="8">
        <f t="shared" ref="F18:F21" si="2">E18/4</f>
        <v>175000</v>
      </c>
    </row>
    <row r="19" spans="1:8">
      <c r="A19" s="6">
        <v>3</v>
      </c>
      <c r="B19" s="6" t="s">
        <v>21</v>
      </c>
      <c r="C19" s="7">
        <v>50000</v>
      </c>
      <c r="D19" s="6">
        <v>14</v>
      </c>
      <c r="E19" s="8">
        <f t="shared" si="0"/>
        <v>700000</v>
      </c>
      <c r="F19" s="8">
        <f t="shared" si="2"/>
        <v>175000</v>
      </c>
    </row>
    <row r="20" spans="1:8">
      <c r="A20" s="6">
        <v>4</v>
      </c>
      <c r="B20" s="6" t="s">
        <v>22</v>
      </c>
      <c r="C20" s="7">
        <v>50000</v>
      </c>
      <c r="D20" s="6">
        <v>14</v>
      </c>
      <c r="E20" s="8">
        <f t="shared" si="0"/>
        <v>700000</v>
      </c>
      <c r="F20" s="8">
        <f t="shared" si="2"/>
        <v>175000</v>
      </c>
    </row>
    <row r="21" spans="1:8">
      <c r="A21" s="6">
        <v>5</v>
      </c>
      <c r="B21" s="6" t="s">
        <v>22</v>
      </c>
      <c r="C21" s="7">
        <v>50000</v>
      </c>
      <c r="D21" s="6">
        <v>14</v>
      </c>
      <c r="E21" s="8">
        <f t="shared" si="0"/>
        <v>700000</v>
      </c>
      <c r="F21" s="8">
        <f t="shared" si="2"/>
        <v>175000</v>
      </c>
    </row>
    <row r="22" spans="1:8" s="10" customFormat="1">
      <c r="A22" s="20" t="s">
        <v>23</v>
      </c>
      <c r="B22" s="21"/>
      <c r="C22" s="21"/>
      <c r="D22" s="22"/>
      <c r="E22" s="12">
        <f>SUM(E17:E21)</f>
        <v>3850000</v>
      </c>
      <c r="F22" s="12">
        <f>SUM(F17:F21)</f>
        <v>962500</v>
      </c>
      <c r="G22" s="13">
        <f>E22+6200000</f>
        <v>10050000</v>
      </c>
      <c r="H22" s="14">
        <f>6200000+3300000+940000</f>
        <v>10440000</v>
      </c>
    </row>
  </sheetData>
  <mergeCells count="4">
    <mergeCell ref="A16:F16"/>
    <mergeCell ref="A22:D22"/>
    <mergeCell ref="A3:D3"/>
    <mergeCell ref="A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tabSelected="1" workbookViewId="0">
      <selection activeCell="H7" sqref="H7"/>
    </sheetView>
  </sheetViews>
  <sheetFormatPr defaultColWidth="9" defaultRowHeight="14.4"/>
  <cols>
    <col min="2" max="2" width="10.6640625" customWidth="1"/>
    <col min="3" max="5" width="17.109375" customWidth="1"/>
    <col min="7" max="7" width="13.33203125" customWidth="1"/>
    <col min="9" max="9" width="15.33203125" customWidth="1"/>
  </cols>
  <sheetData>
    <row r="1" spans="1:9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9">
      <c r="A2">
        <v>1</v>
      </c>
      <c r="B2" t="s">
        <v>6</v>
      </c>
      <c r="C2" s="2">
        <v>3496800</v>
      </c>
      <c r="D2" s="2">
        <v>3942800</v>
      </c>
      <c r="E2" s="3">
        <f>+D2-C2</f>
        <v>446000</v>
      </c>
      <c r="F2" s="3">
        <v>14</v>
      </c>
      <c r="G2" s="3">
        <f>+E2*F2</f>
        <v>6244000</v>
      </c>
      <c r="H2" s="3">
        <v>4</v>
      </c>
      <c r="I2" s="3">
        <f>+G2/H2</f>
        <v>1561000</v>
      </c>
    </row>
    <row r="3" spans="1:9">
      <c r="A3">
        <v>2</v>
      </c>
      <c r="B3" t="s">
        <v>7</v>
      </c>
      <c r="C3" s="2">
        <v>2906700</v>
      </c>
      <c r="D3" s="2">
        <v>3302400</v>
      </c>
      <c r="E3" s="3">
        <f t="shared" ref="E3:E6" si="0">+D3-C3</f>
        <v>395700</v>
      </c>
      <c r="F3" s="3">
        <v>14</v>
      </c>
      <c r="G3" s="3">
        <f t="shared" ref="G3:G6" si="1">+E3*F3</f>
        <v>5539800</v>
      </c>
      <c r="H3" s="3">
        <v>4</v>
      </c>
      <c r="I3" s="3">
        <f t="shared" ref="I3:I6" si="2">+G3/H3</f>
        <v>1384950</v>
      </c>
    </row>
    <row r="4" spans="1:9">
      <c r="A4">
        <v>3</v>
      </c>
      <c r="B4" t="s">
        <v>28</v>
      </c>
      <c r="C4" s="2">
        <v>2513300</v>
      </c>
      <c r="D4" s="2">
        <v>2862900</v>
      </c>
      <c r="E4" s="3">
        <f t="shared" si="0"/>
        <v>349600</v>
      </c>
      <c r="F4" s="3">
        <v>14</v>
      </c>
      <c r="G4" s="3">
        <f t="shared" si="1"/>
        <v>4894400</v>
      </c>
      <c r="H4" s="3">
        <v>4</v>
      </c>
      <c r="I4" s="3">
        <f t="shared" si="2"/>
        <v>1223600</v>
      </c>
    </row>
    <row r="5" spans="1:9">
      <c r="A5">
        <v>4</v>
      </c>
      <c r="B5" t="s">
        <v>29</v>
      </c>
      <c r="C5" s="2">
        <v>2185500</v>
      </c>
      <c r="D5" s="2">
        <v>2511300</v>
      </c>
      <c r="E5" s="3">
        <f t="shared" si="0"/>
        <v>325800</v>
      </c>
      <c r="F5" s="3">
        <v>14</v>
      </c>
      <c r="G5" s="3">
        <f t="shared" si="1"/>
        <v>4561200</v>
      </c>
      <c r="H5" s="3">
        <v>4</v>
      </c>
      <c r="I5" s="3">
        <f t="shared" si="2"/>
        <v>1140300</v>
      </c>
    </row>
    <row r="6" spans="1:9">
      <c r="A6">
        <v>5</v>
      </c>
      <c r="B6" t="s">
        <v>30</v>
      </c>
      <c r="C6" s="2">
        <v>1814000</v>
      </c>
      <c r="D6" s="2">
        <v>2084400</v>
      </c>
      <c r="E6" s="3">
        <f t="shared" si="0"/>
        <v>270400</v>
      </c>
      <c r="F6" s="3">
        <v>14</v>
      </c>
      <c r="G6" s="3">
        <f t="shared" si="1"/>
        <v>3785600</v>
      </c>
      <c r="H6" s="3">
        <v>4</v>
      </c>
      <c r="I6" s="3">
        <f t="shared" si="2"/>
        <v>946400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7</dc:creator>
  <cp:lastModifiedBy>Administrator</cp:lastModifiedBy>
  <dcterms:created xsi:type="dcterms:W3CDTF">2026-08-06T05:40:00Z</dcterms:created>
  <dcterms:modified xsi:type="dcterms:W3CDTF">2026-08-28T02:48:21Z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19791A621EC8454999EBC5DA3F51DAB6_12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