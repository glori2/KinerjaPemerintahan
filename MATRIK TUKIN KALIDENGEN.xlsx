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Z:\KALIDENGEN CLOUD\PAMONG CARIK MUSTOFA\Tahun 2026\TUKIN\"/>
    </mc:Choice>
  </mc:AlternateContent>
  <bookViews>
    <workbookView xWindow="0" yWindow="0" windowWidth="23040" windowHeight="9264" activeTab="2"/>
  </bookViews>
  <sheets>
    <sheet name="CARIK" sheetId="1" r:id="rId1"/>
    <sheet name="KAMITUWA" sheetId="3" r:id="rId2"/>
    <sheet name="DAnarta" sheetId="2" r:id="rId3"/>
    <sheet name="ULU-ULU" sheetId="4" r:id="rId4"/>
    <sheet name="JAGABAYA" sheetId="5" r:id="rId5"/>
    <sheet name="PALAPA" sheetId="6" r:id="rId6"/>
    <sheet name="DUKUH" sheetId="7" r:id="rId7"/>
    <sheet name="STAF" sheetId="8" r:id="rId8"/>
  </sheets>
  <definedNames>
    <definedName name="_xlnm.Print_Area" localSheetId="2">DAnarta!$A$1:$S$49</definedName>
    <definedName name="_xlnm.Print_Area" localSheetId="6">DUKUH!$A$1:$S$41</definedName>
    <definedName name="_xlnm.Print_Area" localSheetId="4">JAGABAYA!$A$1:$S$58</definedName>
    <definedName name="_xlnm.Print_Area" localSheetId="1">KAMITUWA!$A$1:$S$52</definedName>
    <definedName name="_xlnm.Print_Area" localSheetId="5">PALAPA!$A$1:$S$63</definedName>
    <definedName name="_xlnm.Print_Area" localSheetId="3">'ULU-ULU'!$A$1:$S$48</definedName>
    <definedName name="_xlnm.Print_Titles" localSheetId="0">CARIK!$6:$9</definedName>
    <definedName name="_xlnm.Print_Titles" localSheetId="2">DAnarta!$7:$9</definedName>
    <definedName name="_xlnm.Print_Titles" localSheetId="6">DUKUH!$6:$8</definedName>
    <definedName name="_xlnm.Print_Titles" localSheetId="4">JAGABAYA!$6:$8</definedName>
    <definedName name="_xlnm.Print_Titles" localSheetId="1">KAMITUWA!$6:$8</definedName>
    <definedName name="_xlnm.Print_Titles" localSheetId="5">PALAPA!$8:$10</definedName>
    <definedName name="_xlnm.Print_Titles" localSheetId="3">'ULU-ULU'!$6:$8</definedName>
  </definedName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N63" i="6" l="1"/>
  <c r="O48" i="4"/>
  <c r="O52" i="3"/>
  <c r="O46" i="1"/>
  <c r="E33" i="7"/>
  <c r="B40" i="7"/>
  <c r="B63" i="6"/>
  <c r="B58" i="5"/>
  <c r="B48" i="4"/>
  <c r="B52" i="3"/>
  <c r="B49" i="2"/>
  <c r="S30" i="5"/>
  <c r="S16" i="5"/>
  <c r="S32" i="6"/>
  <c r="S55" i="6"/>
  <c r="N49" i="3"/>
  <c r="E41" i="4"/>
  <c r="F44" i="4" s="1"/>
  <c r="R41" i="4"/>
  <c r="S17" i="4"/>
  <c r="S16" i="4"/>
  <c r="S40" i="2"/>
  <c r="S17" i="1"/>
  <c r="N33" i="7"/>
  <c r="S31" i="7"/>
  <c r="S53" i="6"/>
  <c r="S49" i="5"/>
  <c r="E50" i="5"/>
  <c r="F52" i="5" s="1"/>
  <c r="O50" i="5"/>
  <c r="P50" i="5"/>
  <c r="Q50" i="5"/>
  <c r="R50" i="5"/>
  <c r="N50" i="5"/>
  <c r="N41" i="4"/>
  <c r="N42" i="2"/>
  <c r="S39" i="4"/>
  <c r="F42" i="2"/>
  <c r="E42" i="2"/>
  <c r="F46" i="2" s="1"/>
  <c r="S43" i="3"/>
  <c r="S23" i="2"/>
  <c r="S22" i="2"/>
  <c r="S21" i="2" l="1"/>
  <c r="E45" i="3"/>
  <c r="F33" i="7"/>
  <c r="G33" i="7"/>
  <c r="H33" i="7"/>
  <c r="I33" i="7"/>
  <c r="J33" i="7"/>
  <c r="K33" i="7"/>
  <c r="L33" i="7"/>
  <c r="M33" i="7"/>
  <c r="O33" i="7"/>
  <c r="P33" i="7"/>
  <c r="Q33" i="7"/>
  <c r="R33" i="7"/>
  <c r="S11" i="7"/>
  <c r="S12" i="7"/>
  <c r="S13" i="7"/>
  <c r="S14" i="7"/>
  <c r="S15" i="7"/>
  <c r="S16" i="7"/>
  <c r="S17" i="7"/>
  <c r="S18" i="7"/>
  <c r="S19" i="7"/>
  <c r="S20" i="7"/>
  <c r="S21" i="7"/>
  <c r="S22" i="7"/>
  <c r="S23" i="7"/>
  <c r="S24" i="7"/>
  <c r="S25" i="7"/>
  <c r="S26" i="7"/>
  <c r="S27" i="7"/>
  <c r="S28" i="7"/>
  <c r="S29" i="7"/>
  <c r="S30" i="7"/>
  <c r="S32" i="7"/>
  <c r="S10" i="7"/>
  <c r="G53" i="7"/>
  <c r="H53" i="7" s="1"/>
  <c r="F50" i="5"/>
  <c r="G50" i="5"/>
  <c r="H50" i="5"/>
  <c r="I50" i="5"/>
  <c r="J50" i="5"/>
  <c r="K50" i="5"/>
  <c r="L50" i="5"/>
  <c r="M50" i="5"/>
  <c r="S48" i="5"/>
  <c r="S20" i="2"/>
  <c r="G42" i="2"/>
  <c r="H42" i="2"/>
  <c r="I42" i="2"/>
  <c r="J42" i="2"/>
  <c r="K42" i="2"/>
  <c r="L42" i="2"/>
  <c r="M42" i="2"/>
  <c r="O42" i="2"/>
  <c r="P42" i="2"/>
  <c r="Q42" i="2"/>
  <c r="R42" i="2"/>
  <c r="S12" i="2"/>
  <c r="S13" i="2"/>
  <c r="S14" i="2"/>
  <c r="S15" i="2"/>
  <c r="S16" i="2"/>
  <c r="S17" i="2"/>
  <c r="S18" i="2"/>
  <c r="S19" i="2"/>
  <c r="S24" i="2"/>
  <c r="S25" i="2"/>
  <c r="S26" i="2"/>
  <c r="S27" i="2"/>
  <c r="S28" i="2"/>
  <c r="S29" i="2"/>
  <c r="S30" i="2"/>
  <c r="S31" i="2"/>
  <c r="S32" i="2"/>
  <c r="S33" i="2"/>
  <c r="S34" i="2"/>
  <c r="S35" i="2"/>
  <c r="S36" i="2"/>
  <c r="S37" i="2"/>
  <c r="S38" i="2"/>
  <c r="S39" i="2"/>
  <c r="S11" i="2"/>
  <c r="S17" i="5"/>
  <c r="S11" i="5"/>
  <c r="S12" i="5"/>
  <c r="S13" i="5"/>
  <c r="S14" i="5"/>
  <c r="S15" i="5"/>
  <c r="S18" i="5"/>
  <c r="S19" i="5"/>
  <c r="S20" i="5"/>
  <c r="S21" i="5"/>
  <c r="S22" i="5"/>
  <c r="S23" i="5"/>
  <c r="S24" i="5"/>
  <c r="S25" i="5"/>
  <c r="S26" i="5"/>
  <c r="S27" i="5"/>
  <c r="S28" i="5"/>
  <c r="S29" i="5"/>
  <c r="S31" i="5"/>
  <c r="S32" i="5"/>
  <c r="S33" i="5"/>
  <c r="S34" i="5"/>
  <c r="S35" i="5"/>
  <c r="S36" i="5"/>
  <c r="S37" i="5"/>
  <c r="S38" i="5"/>
  <c r="S39" i="5"/>
  <c r="S40" i="5"/>
  <c r="S41" i="5"/>
  <c r="S42" i="5"/>
  <c r="S43" i="5"/>
  <c r="S44" i="5"/>
  <c r="S45" i="5"/>
  <c r="S46" i="5"/>
  <c r="S47" i="5"/>
  <c r="S10" i="5"/>
  <c r="S42" i="2" l="1"/>
  <c r="S50" i="5"/>
  <c r="S33" i="7"/>
  <c r="S15" i="4"/>
  <c r="N55" i="6"/>
  <c r="O55" i="6"/>
  <c r="P55" i="6"/>
  <c r="Q55" i="6"/>
  <c r="R55" i="6"/>
  <c r="E55" i="6"/>
  <c r="F58" i="6" s="1"/>
  <c r="S13" i="6"/>
  <c r="S14" i="6"/>
  <c r="S15" i="6"/>
  <c r="S16" i="6"/>
  <c r="S17" i="6"/>
  <c r="S18" i="6"/>
  <c r="S19" i="6"/>
  <c r="S20" i="6"/>
  <c r="S21" i="6"/>
  <c r="S22" i="6"/>
  <c r="S23" i="6"/>
  <c r="S24" i="6"/>
  <c r="S25" i="6"/>
  <c r="S26" i="6"/>
  <c r="S27" i="6"/>
  <c r="S28" i="6"/>
  <c r="S29" i="6"/>
  <c r="S30" i="6"/>
  <c r="S31" i="6"/>
  <c r="S33" i="6"/>
  <c r="S34" i="6"/>
  <c r="S35" i="6"/>
  <c r="S36" i="6"/>
  <c r="S37" i="6"/>
  <c r="S38" i="6"/>
  <c r="S39" i="6"/>
  <c r="S40" i="6"/>
  <c r="S41" i="6"/>
  <c r="S42" i="6"/>
  <c r="S43" i="6"/>
  <c r="S44" i="6"/>
  <c r="S45" i="6"/>
  <c r="S46" i="6"/>
  <c r="S47" i="6"/>
  <c r="S48" i="6"/>
  <c r="S49" i="6"/>
  <c r="S50" i="6"/>
  <c r="S51" i="6"/>
  <c r="S52" i="6"/>
  <c r="S54" i="6"/>
  <c r="S12" i="6"/>
  <c r="G41" i="4" l="1"/>
  <c r="H41" i="4"/>
  <c r="I41" i="4"/>
  <c r="J41" i="4"/>
  <c r="K41" i="4"/>
  <c r="L41" i="4"/>
  <c r="M41" i="4"/>
  <c r="O41" i="4"/>
  <c r="P41" i="4"/>
  <c r="Q41" i="4"/>
  <c r="S10" i="4"/>
  <c r="S12" i="4"/>
  <c r="S13" i="4"/>
  <c r="S14" i="4"/>
  <c r="S18" i="4"/>
  <c r="S19" i="4"/>
  <c r="S20" i="4"/>
  <c r="S21" i="4"/>
  <c r="S22" i="4"/>
  <c r="S11" i="4"/>
  <c r="S23" i="4"/>
  <c r="S24" i="4"/>
  <c r="S25" i="4"/>
  <c r="S26" i="4"/>
  <c r="S27" i="4"/>
  <c r="S28" i="4"/>
  <c r="S29" i="4"/>
  <c r="S30" i="4"/>
  <c r="S31" i="4"/>
  <c r="S32" i="4"/>
  <c r="S33" i="4"/>
  <c r="S34" i="4"/>
  <c r="S35" i="4"/>
  <c r="S36" i="4"/>
  <c r="S37" i="4"/>
  <c r="S38" i="4"/>
  <c r="S40" i="4"/>
  <c r="S9" i="4"/>
  <c r="S41" i="4" l="1"/>
  <c r="G45" i="3"/>
  <c r="H45" i="3"/>
  <c r="I45" i="3"/>
  <c r="J45" i="3"/>
  <c r="K45" i="3"/>
  <c r="L45" i="3"/>
  <c r="M45" i="3"/>
  <c r="N45" i="3"/>
  <c r="O45" i="3"/>
  <c r="P45" i="3"/>
  <c r="Q45" i="3"/>
  <c r="R45" i="3"/>
  <c r="S11" i="3"/>
  <c r="S12" i="3"/>
  <c r="S13" i="3"/>
  <c r="S14" i="3"/>
  <c r="S15" i="3"/>
  <c r="S16" i="3"/>
  <c r="S17" i="3"/>
  <c r="S18" i="3"/>
  <c r="S19" i="3"/>
  <c r="S20" i="3"/>
  <c r="S21" i="3"/>
  <c r="S22" i="3"/>
  <c r="S23" i="3"/>
  <c r="S24" i="3"/>
  <c r="S25" i="3"/>
  <c r="S26" i="3"/>
  <c r="S27" i="3"/>
  <c r="S28" i="3"/>
  <c r="S29" i="3"/>
  <c r="S30" i="3"/>
  <c r="S31" i="3"/>
  <c r="S32" i="3"/>
  <c r="S33" i="3"/>
  <c r="S34" i="3"/>
  <c r="S35" i="3"/>
  <c r="S36" i="3"/>
  <c r="S37" i="3"/>
  <c r="S38" i="3"/>
  <c r="S39" i="3"/>
  <c r="S40" i="3"/>
  <c r="S41" i="3"/>
  <c r="S42" i="3"/>
  <c r="S44" i="3"/>
  <c r="S10" i="3"/>
  <c r="G45" i="6"/>
  <c r="S45" i="3" l="1"/>
  <c r="L52" i="1"/>
  <c r="M52" i="1" s="1"/>
  <c r="K51" i="1"/>
  <c r="L51" i="1" s="1"/>
  <c r="M51" i="1" s="1"/>
  <c r="E39" i="1"/>
  <c r="F41" i="1" s="1"/>
  <c r="AG57" i="1"/>
  <c r="AF57" i="1"/>
  <c r="AE57" i="1"/>
  <c r="AD57" i="1"/>
  <c r="AC57" i="1"/>
  <c r="AB57" i="1"/>
  <c r="AA57" i="1"/>
  <c r="Z57" i="1"/>
  <c r="Y57" i="1"/>
  <c r="X57" i="1"/>
  <c r="W57" i="1"/>
  <c r="I39" i="1"/>
  <c r="J39" i="1"/>
  <c r="K39" i="1"/>
  <c r="L39" i="1"/>
  <c r="M39" i="1"/>
  <c r="N39" i="1"/>
  <c r="O39" i="1"/>
  <c r="P39" i="1"/>
  <c r="Q39" i="1"/>
  <c r="R39" i="1"/>
  <c r="H39" i="1"/>
  <c r="S11" i="1"/>
  <c r="S12" i="1"/>
  <c r="S13" i="1"/>
  <c r="S14" i="1"/>
  <c r="S15" i="1"/>
  <c r="S18" i="1"/>
  <c r="S19" i="1"/>
  <c r="S20" i="1"/>
  <c r="S21" i="1"/>
  <c r="S22" i="1"/>
  <c r="S23" i="1"/>
  <c r="S24" i="1"/>
  <c r="S25" i="1"/>
  <c r="S26" i="1"/>
  <c r="S27" i="1"/>
  <c r="S28" i="1"/>
  <c r="S29" i="1"/>
  <c r="S30" i="1"/>
  <c r="S31" i="1"/>
  <c r="S32" i="1"/>
  <c r="S33" i="1"/>
  <c r="S34" i="1"/>
  <c r="S35" i="1"/>
  <c r="S36" i="1"/>
  <c r="S37" i="1"/>
  <c r="S10" i="1"/>
  <c r="S39" i="1" l="1"/>
  <c r="H49" i="1"/>
</calcChain>
</file>

<file path=xl/comments1.xml><?xml version="1.0" encoding="utf-8"?>
<comments xmlns="http://schemas.openxmlformats.org/spreadsheetml/2006/main">
  <authors>
    <author>ASUS</author>
  </authors>
  <commentList>
    <comment ref="J28" authorId="0" shapeId="0">
      <text>
        <r>
          <rPr>
            <b/>
            <sz val="9"/>
            <color indexed="81"/>
            <rFont val="Tahoma"/>
            <charset val="1"/>
          </rPr>
          <t>ASUS:</t>
        </r>
        <r>
          <rPr>
            <sz val="9"/>
            <color indexed="81"/>
            <rFont val="Tahoma"/>
            <charset val="1"/>
          </rPr>
          <t xml:space="preserve">
1. Tugas Pelaksanaan Undangan FGD Penanganan anak terlantar di dinas P3PD DIY (22 April 2024)
2. Menghadiri undangan syawalan di SMK N 2 Pengasih (16 April 2024)</t>
        </r>
      </text>
    </comment>
    <comment ref="J32" authorId="0" shapeId="0">
      <text>
        <r>
          <rPr>
            <b/>
            <sz val="9"/>
            <color indexed="81"/>
            <rFont val="Tahoma"/>
            <charset val="1"/>
          </rPr>
          <t>ASUS:</t>
        </r>
        <r>
          <rPr>
            <sz val="9"/>
            <color indexed="81"/>
            <rFont val="Tahoma"/>
            <charset val="1"/>
          </rPr>
          <t xml:space="preserve">
1. Monitoring pelaksanaan kegiatan kader kesehatan, karena ada kader yang mengundurkan diri pada bulan maret 2024, kemudian dilanjutkan penyiapan dokumen untuk penggantian kader baru mulai maret 2024. (1 April 2024)
2. Monitoring kegiatan pengajuan izin gubernur untuk tanah-tanah yang belum berizin. Menindaklanjuti daftar tanah yang akan diajukan izin gubernur dengan SK Lurah (17 April 2024)</t>
        </r>
      </text>
    </comment>
    <comment ref="J36" authorId="0" shapeId="0">
      <text>
        <r>
          <rPr>
            <b/>
            <sz val="9"/>
            <color indexed="81"/>
            <rFont val="Tahoma"/>
            <charset val="1"/>
          </rPr>
          <t>ASUS:</t>
        </r>
        <r>
          <rPr>
            <sz val="9"/>
            <color indexed="81"/>
            <rFont val="Tahoma"/>
            <charset val="1"/>
          </rPr>
          <t xml:space="preserve">
1. Tindaklanjut hasil FGD di Dinas P3PD DIY, atas nama Landung Prihatmo, Kemir RT 05/03. (24 April 2024)
2. Pelaksanaan penyiapan kegiatan syawalan pemerintah kalurahan Margosari 2024 (26 April 2024)</t>
        </r>
      </text>
    </comment>
  </commentList>
</comments>
</file>

<file path=xl/sharedStrings.xml><?xml version="1.0" encoding="utf-8"?>
<sst xmlns="http://schemas.openxmlformats.org/spreadsheetml/2006/main" count="1193" uniqueCount="329">
  <si>
    <t>MATRIK RENCANA KEGIATAN</t>
  </si>
  <si>
    <t>Nama</t>
  </si>
  <si>
    <t>Jabatan</t>
  </si>
  <si>
    <t>No.</t>
  </si>
  <si>
    <t>Rencana kegiatan</t>
  </si>
  <si>
    <t>Output</t>
  </si>
  <si>
    <t>Target</t>
  </si>
  <si>
    <t>Jumlah e s/d p</t>
  </si>
  <si>
    <t>Jan.</t>
  </si>
  <si>
    <t>Feb.</t>
  </si>
  <si>
    <t>Maret</t>
  </si>
  <si>
    <t>April</t>
  </si>
  <si>
    <t>Mei</t>
  </si>
  <si>
    <t>Juni</t>
  </si>
  <si>
    <t>Juli</t>
  </si>
  <si>
    <t>Agust.</t>
  </si>
  <si>
    <t>Sept.</t>
  </si>
  <si>
    <t>Okt.</t>
  </si>
  <si>
    <t>Nov.</t>
  </si>
  <si>
    <t>Des.</t>
  </si>
  <si>
    <t>a</t>
  </si>
  <si>
    <t>b</t>
  </si>
  <si>
    <t>c</t>
  </si>
  <si>
    <t>d</t>
  </si>
  <si>
    <t>e</t>
  </si>
  <si>
    <t>f</t>
  </si>
  <si>
    <t>g</t>
  </si>
  <si>
    <t>h</t>
  </si>
  <si>
    <t>i</t>
  </si>
  <si>
    <t>j</t>
  </si>
  <si>
    <t>k</t>
  </si>
  <si>
    <t>l</t>
  </si>
  <si>
    <t>m</t>
  </si>
  <si>
    <t>n</t>
  </si>
  <si>
    <t>o</t>
  </si>
  <si>
    <t>p</t>
  </si>
  <si>
    <t>q</t>
  </si>
  <si>
    <t>kegiatan</t>
  </si>
  <si>
    <t>kali</t>
  </si>
  <si>
    <t>laporan</t>
  </si>
  <si>
    <t>dokumen</t>
  </si>
  <si>
    <t>Memberikan saran dan pertimbangan kepada Lurah mengenai kebijakan yang akan diambil</t>
  </si>
  <si>
    <t>Terlaksanannya penyampaian saran dan pertimbangan kepada Lurah mengenai kebijakan yang akan diambil</t>
  </si>
  <si>
    <t>Pelaksanaan tugas lain yang diberikan oleh Lurah</t>
  </si>
  <si>
    <t xml:space="preserve">Terlaksananya tugas disposisi surat, undangan dan/atau tugas lain dari Lurah dan melaporkan hasil pelaksanaannya kepada Lurah. </t>
  </si>
  <si>
    <t>tim</t>
  </si>
  <si>
    <t xml:space="preserve">Tersusunnya arsip setiap dokumen dan/atau berkas atas bidang tugasnya (contoh: Mengarsipkan dokumen SPP-SPJ, berita acara, perjanjian, dll pada semua kegiatan bidang tugasnya dengan tertib sehingga apabila dibutuhkan setiap waktu siap untuk disajikan) </t>
  </si>
  <si>
    <t>arsip</t>
  </si>
  <si>
    <t xml:space="preserve">Terlaksanannya pengantaran surat/dokumen berdasarkan tugas yang diberikan oleh Lurah.  </t>
  </si>
  <si>
    <t>Terlaksananya monitoring dan evaluasi program kegiatan sesuai bidang tugasnya dan melaporkannya kepada lurah setiap bulan. (contoh: Melaporkan kepada lurah pelaksanaan program kegiatannya, termasuk permasalahan, hambatan, serta solusinya)</t>
  </si>
  <si>
    <t>Mengikuti Musyawarah Padukuhan (Musduk)</t>
  </si>
  <si>
    <t>Mengikuti Musyawarah Kalurahan (Muskal)</t>
  </si>
  <si>
    <t>Mengikuti Musyawarah Rencana Pembangunan (Musrenbang)</t>
  </si>
  <si>
    <t>Terlaksananya pelaksanaan tugas lain yang diberikan oleh Lurah selain yang sudah tercantum dalam output kegiatan ini dan melaporakan hasil pelaksanaannya kepada lurah.</t>
  </si>
  <si>
    <t>Yang berjanji</t>
  </si>
  <si>
    <t>Terlaksananya pencermatan tata naskah surat sebelum dibubuhkan paraf dan/atau tanda tangan (contoh: pencermatan Surat Keputusan sebelum diparaf/tanda tangan).</t>
  </si>
  <si>
    <t>Terlaksananya koordinasi dalam rangka inventarisasi arsip, surat, dan lain-lain. (contoh: koordinasi penyimpanan arsip kepada pamong kalurahan)</t>
  </si>
  <si>
    <t>Terlaksananya koordinasi dalam penataan administrasi pamong kalurahan (contoh: koordinasi kepada pamong terkait dengan pengisian laporan kinerja, penyusunan dokumen-dokumen kelengkapan BLT DD, dll)</t>
  </si>
  <si>
    <t>Terlaksanannya koordinasi dalam rangka penyedian sarana dan prasarana kalurahan (contoh: koordinasi kepada kaur panata laksana sarta pangripta untuk membeli sapu, merencanakan di kegiatan APBDES untuk dianggarakan belanja seragam)</t>
  </si>
  <si>
    <t>Terlaksananya koordinasi pelaksanaan Musyawarah, Pertemuan, Rapat, dll. (contoh: Koordinasi Pelaksaan Muskal, Musrenbang, Rakor, dll)</t>
  </si>
  <si>
    <t>Terlaksana koordinasi fasilitasi pelayanan umum (contoh: Koordinasi kepada Kaur Palapa untuk melaksanakan pelayanan menggunakan SID)</t>
  </si>
  <si>
    <t>Terlaksananya pembubuhan paraf dalam SPJ dan/atau SPP kegiatan dan memberikan koreksi apabila ditemukan ketidaksesuaian. (contoh: paraf pada SPP siltap Pamong)</t>
  </si>
  <si>
    <t>Terlaksananya koordinasi penganggaran dari berbagai sumber dan kegiatan kasi dan/atau kaur. (contoh: menghitung prosentase prioritas wajib yang harus dipenuhi pada tiap penganggaran dan kegiatan-kegiatan lainnya)</t>
  </si>
  <si>
    <t>Terlaksanannya koordinasi pelaksanaan pembuatan proposal usulan Dana Keistimewaan dan Musyawarah/pertemuan lain terkait dengan Usulan Dana Keistimewaan. (contoh: koordinasi pembuatan proposa papan nama)</t>
  </si>
  <si>
    <t>Terlaksananya koordinasi pengendalian dan evaluasi kegiatan Kasi dan/atau kaur. (contoh: koordinasi kegiatan siltap segera dibuat kelengkapan supaya dapat segera cair, kegiatan musyawarah kalurahan supaya sesuai dengan agenda waktu dalam perundang-undangan yang berlaku)</t>
  </si>
  <si>
    <t>Terlaksananya koordinasi penyusunan Peraturan Lurah Penjabaran APB Kalurahan dan/atau perubahan Penjabaran APB Kalurahan, dalam rangka singkronisasi antara kebutuhan dan anggaran. (contoh: koordinasi terkait dengan perubahan kegiatan dan sumber dana perubahan tersebut berasal dari kegiatan apa)</t>
  </si>
  <si>
    <t>Terlaksananya koordinasi penyusunan Pertanggungjawaban pelaksanaan anggaran pendapatan dan belanja kalurahan. (contoh: koordinasi kegiatan penyusunan laporan laporan akhir tahun, LPPD, dan LKPD)</t>
  </si>
  <si>
    <t>Terlaksananya verifikasi terhadap Dokumen Pelaksanaan Anggaran (DPA), Dokumen Pelaksanaan Perubahan Anggaran (DPPA), Dokumen Pelaksanaan Anggaran Lanjutan (DPAL), Rencana Anggaran Kas Kalurahan (RAK Kalurahan), Surat Perintah Pembayaran (SPP) dan bukti penerimaan dan pengeluaran anggaran pendapatan dan belanja kalurahan.</t>
  </si>
  <si>
    <t xml:space="preserve">Terlaksananya tugas menjadi bagian dalam Tim Pelaksana Kegiatan (TPK), dan/atau Tim lainnya berdasarkan Surat Keputusan. (contoh: Masuk dalam TPK Penyusun RKP Kalurahan) </t>
  </si>
  <si>
    <t>Pengoordinasian administrasi Pemerintahan
Kalurahan</t>
  </si>
  <si>
    <t>Koordinasi, pengendalian dan evaluasi terhadap perencanaan dan pelaksanaan kegiatan Pemerintah Kalurahan.</t>
  </si>
  <si>
    <t>Pelaksanaan pengelolaan keuangan.</t>
  </si>
  <si>
    <t>CARIK</t>
  </si>
  <si>
    <t>Terlaksananya Tugas Pamong Kalurahan Lain yang menjalankan tugas Pelaksana Pengelolaan Keuangan Kalurahan (PPKK) (contoh: koordinasi agenda kegiatan masing-masing kasi dan/atau kaur sesuai dengan RAB)</t>
  </si>
  <si>
    <t>JUMLAH MASING-MASING BULAN</t>
  </si>
  <si>
    <t>Penulisan Informasi/berita tentang kegiatan, potensi atau prestasi sesuai bidang tugasnya</t>
  </si>
  <si>
    <t xml:space="preserve">Catatan: </t>
  </si>
  <si>
    <t>…………………………</t>
  </si>
  <si>
    <t>Perencanaan, pelaksanaan, pengendalian dan evaluasi pelaksanaan urusan keuangan.</t>
  </si>
  <si>
    <t>Tersusunnya Rencana Anggaran Biaya (RAB) dalam perencanaan kegiatan tahun berikutnya maupun Perubahan APBKAL di tahun berjalan.</t>
  </si>
  <si>
    <t>Membuat Buku Kas Umum</t>
  </si>
  <si>
    <t>bulan</t>
  </si>
  <si>
    <t>Membuat Buku Kas Tunai</t>
  </si>
  <si>
    <t>Membuat Buku bantu Bank</t>
  </si>
  <si>
    <t>Membuat Buku bantu Pajak</t>
  </si>
  <si>
    <t>Membuat Buku bantu Kegiatan</t>
  </si>
  <si>
    <t>Membuat Buku Penutupan Kas</t>
  </si>
  <si>
    <t>Menyusun laporan pertanggungjawaban realisasi pelaksanaan anggaran pendapatan dan belanja kalurahan</t>
  </si>
  <si>
    <t>Membuat laporan realisasi bulanan</t>
  </si>
  <si>
    <t>Membuat laporan realisasi semester II</t>
  </si>
  <si>
    <t>Membuat Laporan realisasi akhir tahun</t>
  </si>
  <si>
    <t>Melakukan penatausahaan keuangan yang meliputi menerima menyimpan, menyetorkan/membayar, menatausahakan dan mempertanggungjawabkan penerimaan pendapatan Kalurahan dan pengeluaran dalam rangka pelaksanaan anggaran pendapatan dan belanja kalurahan</t>
  </si>
  <si>
    <t>Mencari, mengumpulkan, menghimpun dan mengolah serta menyajikan data dan informasi yang berhubungan dengan bidang tugasnya</t>
  </si>
  <si>
    <t>Membuat laporan pelaksanaan seluruh kegiatan sesuai bidang tugasnya</t>
  </si>
  <si>
    <t>Tersusunnya laporan pelaksanaan kegiatan kepada Lurah sesuai dengan bidang tugasnya. (contoh: Menyampaikan laporan terkait dengan hasil presentasi/desk rancangan APBKAL, perubahan, dll)</t>
  </si>
  <si>
    <t>Memberikan saran dan pertimbangan kepada Lurah mengenai kebijakan dan tindakan yang akan diambil</t>
  </si>
  <si>
    <t>Melaksanakan Tugas lain yang diberikan oleh Lurah</t>
  </si>
  <si>
    <t xml:space="preserve">Terlaksananya tugas menjadi bagian dalam Tim Pelaksana Kegiatan (TPK), dan/atau Tim lainnya berdasarkan Surat Keputusan. (contoh: Masuk dalam Tim Penyusunan Rencana Kerja Pemerintah Kalurahan) </t>
  </si>
  <si>
    <t>Terlaksananya penyusunan laporan pelaksanaan kegiatan sesuai bidang tugasnya setiap semester dan untuk pertanggungjawaban pelaksanaan APBKAL selama 1 tahun anggaran . (contoh: laporan penggunaan anggaran kegiatan dan sisa anggaran kegiatan, beserta alasannya apabila ada sisa anggaran)</t>
  </si>
  <si>
    <t>Terlaksananya penyusunan dan mengajukan SPP dan SPJ kegiatan kepada bendahara maksimal 5 hari kerja setelah kegiatan selesai dilaksanakan.</t>
  </si>
  <si>
    <t>SPP</t>
  </si>
  <si>
    <t>Kali</t>
  </si>
  <si>
    <t>Terlaksananya pelaksanaan tugas lain yang diberikan oleh Lurah selain yang sudah tercantum dalam output kegiatan ini.</t>
  </si>
  <si>
    <t>Penulisan Informasi/berita tentang kegiatan, potensi atau prestasi sesuai bidang tugasnya.</t>
  </si>
  <si>
    <t>DANARTA</t>
  </si>
  <si>
    <t>Waktu</t>
  </si>
  <si>
    <t>Perencanaan, pelaksanaan, pengendalian dan evaluasi pelaksanaan kegiatan sosial kemasyarakatan</t>
  </si>
  <si>
    <t>Penyuluhan dan motivasi di bidang keagamaan, ketenagakerjaan, pemberdayaan perempuan, perlindungan anak, keluarga berencana, pendidikan, kesehatan, pemuda, olahraga, karang taruna dan penanggulangan kemiskinan</t>
  </si>
  <si>
    <t>Kegiatan urusan keistimewaan bidang kebudayaan</t>
  </si>
  <si>
    <t>Pelaksanaan Kegiatan Anggaran</t>
  </si>
  <si>
    <t>Terlaksananya Penyelenggaraan Posyandu*</t>
  </si>
  <si>
    <t>Terlaksananya Penyuluhan dan Pelatihan Bidang Kesehatan*</t>
  </si>
  <si>
    <t>Terlaksananya Keadaan Mendesak (Penyaluran BLT)*</t>
  </si>
  <si>
    <t>Pelayanan sesuai bidang tugasnya</t>
  </si>
  <si>
    <t>Terlaksananya pelayanan warga masyarakat terkait dengan bidang keagamaan, budaya, olahraga, karangtaruna, social, keluarga, pendidikan, pemberdayaan perempuan, perlindungan anak, dll. (contoh: Melayani konsultasi kelompok-kelompok budaya, olahraga, keagamaan, dll terkait tata cara/prosedur izin kegiatan, pengajuan proposal, dll)</t>
  </si>
  <si>
    <t>Terlaksananya penyampaian saran dan pertimbangan kepada Lurah mengenai kebijakan yang akan diambil (contoh: Memberikan saran dan pertimbangan mengenai kebijakan pelaksanaan merti kalurahan, hari jadi kalurahan, kegiatan peringatan HUT RI, dll)</t>
  </si>
  <si>
    <t>Terlaksananya tugas menjadi bagian dalam Tim Pelaksana Kegiatan (TPK), dan/atau Tim lainnya berdasarkan Surat Keputusan. (contoh: Masuk dalam TPK Kegiatan Posyandu)</t>
  </si>
  <si>
    <t>Terlaksananya sambutan wakil keluarga atau sebutan lain dalam upacara pernikahan, lamaran, lelayu, dll . (contoh: sambutan wakil keluarga upacara pemberangkatan jenazah)</t>
  </si>
  <si>
    <t xml:space="preserve">Penulisan Informasi/berita tentang kegiatan, potensi atau prestasi sesuai bidang tugasnya. </t>
  </si>
  <si>
    <t>KAMITUWA</t>
  </si>
  <si>
    <t>Perencanaan, pelaksanaan, pengendalian dan evaluasi pelaksanaan kegiatan pembangunan dan kemakmuran</t>
  </si>
  <si>
    <t>Terlaksananya penyebarluasan informasi rencana tata ruang pada satuan ruang strategis (contoh: menyampaikan di forum pertemuan terkait dengan informasi Tanah Keprabon dan/atau bukan Keprabon di daerah kulon progo sesuai dengan ketentuan yang berlaku)</t>
  </si>
  <si>
    <t>Pelayanan Sesuai bidang Tugasnya</t>
  </si>
  <si>
    <t>Tersusunnya dan terarsipkannya himpunan informasi mengenai regulasi, dan informasi terbaru sesuai bidang tugasnya, dan melaksanakan serta mengarsipkannya dengan tertib. (contoh: Mencari salinan Perbup Nomor 16 Tahun 2020 tentang Tata Cara Pelaksanaan Kegiatan Pengadaan Barang/Jasa di Kalurahan, kemudian mempelajari, menerapkan dan mengarsipkannya dengan tertib sehingga siap disajikan apabila sewaktu-waktu dibutuhkan)</t>
  </si>
  <si>
    <t>produk</t>
  </si>
  <si>
    <t>Terlaksananya penyampaian saran dan pertimbangan kepada Lurah mengenai kebijakan yang akan diambil</t>
  </si>
  <si>
    <t xml:space="preserve">Terlaksananya tugas menjadi bagian dalam Tim Pelaksana Kegiatan (TPK), dan/atau Tim lainnya berdasarkan Surat Keputusan. (contoh: Masuk dalam Tim Penyusun RKP Kalurahan) </t>
  </si>
  <si>
    <t xml:space="preserve">Terlaksanannya pengantaran surat/dokumen berdasarkan tugas yang diberikan oleh Lurah. </t>
  </si>
  <si>
    <t>spp</t>
  </si>
  <si>
    <t>Terlaksananya pelaksanaan tugas lain yang diberikan oleh Lurah selain yang sudah tercantum dalam output kegiatan ini</t>
  </si>
  <si>
    <t>ULU ULU</t>
  </si>
  <si>
    <t>Perencanaan, pelaksanaan, pengendalian dan evaluasi pelaksanaan kegiatan pemerintahan dan keamanan</t>
  </si>
  <si>
    <t>Terlaksananya penyusun rancangan produk regulasi. (contoh: Menyusun rancangan Peraturan Kaluran, Peraturan Lurah, Surat Keputusan, dll kemudian di sampaikan kepada carik untuk diverifikasi)</t>
  </si>
  <si>
    <t>Terlaksanannya pengendalian dan evaluasi kegiatan pembinaan ketentraman dan ketertiban dan melaporkannya kepada lurah. (contoh: Ikut dalam kegiatan penyelesaian permasalahan sosial di masyarakat)</t>
  </si>
  <si>
    <t>Kegiatan urusan Keistimewaan bidang pertanahan</t>
  </si>
  <si>
    <t>Pelaksanaan kegiatan anggaran</t>
  </si>
  <si>
    <t>Terlaksananya fasilitasi Pelaksanaan Klarifikasi Pertanahan dan urusan pertanahan lainnya. (contoh: turun waris, hibah, konsolidasi tanah, dll)</t>
  </si>
  <si>
    <t>Pelayanan lain sesuai bidang tugasnya selain yang sudah tercantum dalam output kegiatan di atas.</t>
  </si>
  <si>
    <t>Tersusunnya dan terarsipkannya himpunan informasi mengenai regulasi, dan informasi terbaru sesuai bidang tugasnya, dan melaksanakan serta mengarsipkannya dengan tertib.(contoh: Pencarian Pergub Nomor 34 Tahun 2017  kemudian mererapkan dalam pengelolaan dan pemanfaatan tanah kalurahan sekaligus mengarsip)</t>
  </si>
  <si>
    <t>Tersusunnya laporan pelaksanaan kegiatan kepada Lurah sesuai dengan bidang tugasnya. (contoh: Menyampaikan laporan baik secara tertulis maupun lisan kepada Lurah setelah melaksanakan penyelesaian permasalahan social yang terjadi di masyarakat)</t>
  </si>
  <si>
    <t xml:space="preserve">Terlaksananya tugas menjadi bagian dalam Tim Pelaksana Kegiatan (TPK), dan/atau Tim lainnya berdasarkan Surat Keputusan. (contoh: Masuk dalam TPK Kegiatan Sistem Informasi Kalurahan) </t>
  </si>
  <si>
    <t>JAGABAYA</t>
  </si>
  <si>
    <t>Perencanaan, pelaksanaan, pengendalian dan evaluasi pelaksanaan urusan ketatausahaan, umum dan perencanaan</t>
  </si>
  <si>
    <t>surat</t>
  </si>
  <si>
    <t>Terlaksana register ekspedisi (contoh: Penulisan di buku ekspedisi Surat Dinas kepada Kapanewon Pengasih)</t>
  </si>
  <si>
    <t>register</t>
  </si>
  <si>
    <t>agenda</t>
  </si>
  <si>
    <t>Terlaksananya penyiapan rapat (contoh: berkoordinasi dengan staf dan pamong lain yang sekiranya bisa membantu dalam menyiapkan tempat, sarana prasarana, konsumsi, MC, dirijen lagu pada kegiatan musyawarah kalurahan)</t>
  </si>
  <si>
    <t>rapat</t>
  </si>
  <si>
    <t>Terlaksananya pencatatan dan inventarisasi aset kalurahan (contoh: menempel stiker nomor di kursi/meja/computer, dll dan dicatatkan di dalam buku aset)</t>
  </si>
  <si>
    <t>Terlaksananya fasilitasi koordinasi pelayanan umum (contoh: menyampaikan kepada staf dan/atau pamong lain terkait update aturan pelayanan persuratan, update SOP pelayanan, dll)</t>
  </si>
  <si>
    <t>Terlaksananya kegiatan tata usaha, umum dan perencanaan terkait dengan keistimewaan (contoh: Pembuatan proposal usulan terkait Dana Keisimewaaan, pelaksanaan Musyawarah Kalurahan usulan kegiatan yang di danai Dana Keistimewaan)</t>
  </si>
  <si>
    <t>Terlaksananya penyediaan prasarana kantor kalurahan (contoh: Pemenuhan kebutuhan lampu, kipas angin, cat tembok, dll)</t>
  </si>
  <si>
    <t>Terlaksananya input data pamong di aplikasi dan manual (update) (contoh: Mencatat dan melakukan update berkala di buku pamong kalurahan/aparatur pamong kalurahan dan input/update berkala di aplikasi SID maupun SIAPDES maupun aplikasi lainnya yang relevan)</t>
  </si>
  <si>
    <t>Terlaksananya pembuatan bagan susunan organisasi tata kerja pemerintah kalurahan (update) dan atau Lembaga lainnya</t>
  </si>
  <si>
    <t>bagan</t>
  </si>
  <si>
    <t>Terlaksanannya pemenuhan kebutuhan kerumahtanggaan pemerintah kalurahan (contoh: koordinasi terkait teknis dalam pemenuhan kebutuhan gula, gas, teh, sabun, dll)</t>
  </si>
  <si>
    <t>Terlaksananya pelaporan aset semester I dan semester II</t>
  </si>
  <si>
    <t>Melaksanaan kegiatan anggaran</t>
  </si>
  <si>
    <t>Penyediaan Operasional Pemerintah Kalurahan*</t>
  </si>
  <si>
    <t>Penyediaan Operasional Pemerintah Kalurahan yang bersumber dari Dana Desa*</t>
  </si>
  <si>
    <t>Pembangunan/Rehabilitasi/Peningkatan Gedung/Prasarana Kantor Kalurahan*</t>
  </si>
  <si>
    <t>Penyelenggaraan Musyawarah Perencanaan Kalurahan/Pembahasan APBKal Kalurahan*</t>
  </si>
  <si>
    <t>Penyelenggaraan Musyawarah Kalurahan Lainnya (Musduk, rembug warga dan lain-lain yang bersifat non-reguler)*</t>
  </si>
  <si>
    <t>Penyusunan Dokumen Perencaan Kalurahan (RPJM Kal./RKP Kal., dll)*</t>
  </si>
  <si>
    <t>Pengelolaan/Administrasi/Inventarisasi/Penilaian Aset Kalurahan*</t>
  </si>
  <si>
    <t>Melaksanakan perekapan presensi pamong setiap bulan dan melaporkannya</t>
  </si>
  <si>
    <t>Tersusunnya dan terarsipkannya himpunan informasi mengenai regulasi, dan informasi terbaru sesuai bidang tugasnya, dan melaksanakan serta mengarsipkannya dengan tertib. (contoh: Pencarian Peraturan Bupati Kulon Progo Nomor 67 Tahun 2019 tentang Pedoman Tata Naskah Dinas Pemerintah Kalurahan kemudian diterapkan dalam pembuatan surat dinas sekaligus mengarsipkannya dengan tertib)</t>
  </si>
  <si>
    <t>Melaksanaan tugas lain yang diberikan oleh Lurah</t>
  </si>
  <si>
    <t xml:space="preserve">Terlaksananya tugas menjadi bagian dalam Tim Pelaksana Kegiatan (TPK), dan/atau Tim lainnya berdasarkan Surat Keputusan. (contoh: Masuk dalam Tim Penyusunan RKP Kalurahan) </t>
  </si>
  <si>
    <t>arsip/dok.</t>
  </si>
  <si>
    <t>surat/dok.</t>
  </si>
  <si>
    <t>PANATA LAKSANA SARTA PANGRIPTA</t>
  </si>
  <si>
    <t>: ….................................................</t>
  </si>
  <si>
    <t>: DUKUH …...................................</t>
  </si>
  <si>
    <t>Membantu pelaksanaan tugas Lurah di wilayah Padukuhan</t>
  </si>
  <si>
    <t>Terlaksananya dan/atau menghadiri kegiatan kerja bakti, dan/atau kegiatan lain terkait dengan upaya menjaga kebersihan dan kesehatan lingkungan di tingkat padukuhan maupun RT.</t>
  </si>
  <si>
    <t>Terlaksananya dan/atau menghadiri kegiatan persiapan pelaksanaan hajatan di masyarakat. (contoh: pernikahan, lamaran, pengajian, lelayu/pemberangkatan jenazah dan kegiatan masyarakat lainnya)</t>
  </si>
  <si>
    <t>Membantu pelayanan umum di kantor kalurahan;</t>
  </si>
  <si>
    <t>Terlaksanannya terkait dengan pelayanan di kalurahan (contoh: surat keterangan usaha, surat keterangan domisili, surat keterangan tidak mampu, pengantar pernikahan, dan pelayanan lainnya yang dilayani oleh pemerintah kalurahan)</t>
  </si>
  <si>
    <t xml:space="preserve">Terlaksananya tugas menjadi bagian dalam Tim Pelaksana Kegiatan (TPK), dan/atau Tim lainnya berdasarkan Surat Keputusan. (contoh: Masuk dalam TPK Kegiatan Posyandu, dll) </t>
  </si>
  <si>
    <t xml:space="preserve">Terlaksanannya pengantaran dan/atau pengambilan surat/dokumen terkait dengan tugas kedinasan.  </t>
  </si>
  <si>
    <t>Terlaksanannya sambutan atau sebutan lainnya di acara hajatan di masyarakat (contoh: pernikahan, lamaran, pengajian, lelayu/pemberangkatan jenazah dan kegiatan masyarakat lainnya)</t>
  </si>
  <si>
    <t>acara</t>
  </si>
  <si>
    <t>poin</t>
  </si>
  <si>
    <t>DUKUH …...............................................</t>
  </si>
  <si>
    <t>….....................................................</t>
  </si>
  <si>
    <t>: STAF PAMONG</t>
  </si>
  <si>
    <t>Kedisiplinan Pelaksanaan Tugas</t>
  </si>
  <si>
    <t>Terlaksananya kehadiran masuk kerja dari 07.30 sampai dengan Pukul 15.45 pada hari Senin-Kamis, dan 15.30 pada hari Jumat (catatan: saat bulan Ramadhan menyesuaikan dengan ketentuan yang berlaku)</t>
  </si>
  <si>
    <t>Terlaksananya kehadiran kegiatan di kalurahan terkait dengan ketugasan (contoh: ikut dalam kegiatan rakor)</t>
  </si>
  <si>
    <t>Terlaksananya kehadiran kegiatan di tingkat padukuhan terkait dengan ketugasan (contoh: menghadiri kegiatan musdus, atau kegiatan lain berdasarkan undangan yang diberikan di tingkat padukuhan)</t>
  </si>
  <si>
    <t>Terlaksananya kehadiran kegiatan luar kantor dalam penugasan lain (contoh: menghadiri kegiatan berdasarkan disposisi atau tugas yang diberikan oleh Lurah)</t>
  </si>
  <si>
    <t>Pelayanan Prima (Keterangan: Pelayanan Selesai dalam waktu maksimal 10 menit)</t>
  </si>
  <si>
    <t>Membuat Surat Keterangan Usaha</t>
  </si>
  <si>
    <t>Terlaksananya pembuatan/pelayanan Surat Keterangan Tidak Mampu</t>
  </si>
  <si>
    <t>Terlaksananya pembuatan/pelayanan Surat Izin Keramaian</t>
  </si>
  <si>
    <t>Terlaksananya pembuatan/pelayanan Surat Pengantar Nikah</t>
  </si>
  <si>
    <t>Terlaksananya pembuatan/pelayanan Surat Keterangan/Pengantar Kelahiran</t>
  </si>
  <si>
    <t>Terlaksananya pembuatan/pelayanan terkait dengan pelayanan IMB/SPPT/sejenisnya</t>
  </si>
  <si>
    <t>Terlaksananya pembuatan/pelayanan Surat Keterangan Domisili</t>
  </si>
  <si>
    <t>Terlaksananya pembuatan/pelayanan Surat Keterangan Beda Nama</t>
  </si>
  <si>
    <t>Terlaksananya pembuatan/pelayanan Surat Izin Usaha</t>
  </si>
  <si>
    <t>Terlaksananya pembuatan/pelayanan Surat Pengantar Pindah dan/atau Datang</t>
  </si>
  <si>
    <t>Terlaksananya pembuatan/pelayanan Surat Pengantar Kematian/Pelayanan Terkait dengan Kematian</t>
  </si>
  <si>
    <t>Terlaksananya pembuatan/pelayanan terkait dengan pelayanan persyaratan pension atau sebutan lainnya</t>
  </si>
  <si>
    <t>Terlaksananya pembuatan/pelayanan terkait dengan pelayanan legalisasi</t>
  </si>
  <si>
    <t>Terlaksananya pembuatan/pelayanan pelayanan lain selain output kegiatan yang sudah tercantum pada kolom di atas.</t>
  </si>
  <si>
    <t>Pelaksanaan Tugas Pembantuan kepada Lurah dan Pamong</t>
  </si>
  <si>
    <t>Terlaksananya kegiatan membantu menyiapkan, melaksanakan, serta pembersihan pelaksanaan rapat/pertemuan/kegiatan lain yang serupa baik kegiatan siang hari maupun malam hari (contoh: penyiapan sarana prasarana sebelum, saat, dan setelah pelaksanaan rapat/pertemuan/kegiatan lain yang serupa)</t>
  </si>
  <si>
    <t>Terlaksananya kegiatan membantu lurah, kasi kaur dan/atau dukuh dalam rangka melaksanakan tugas (contoh: mengambil ATK dari toko, membantu penggandaan, membantu penjilidan, dll)</t>
  </si>
  <si>
    <t>Terlaksananya kegiatan membantu lurah, kasi kaur dan/atau dukuh dalam rangka melaksanakan tugas (contoh: mengantar surat di tingkat padukuhan, kalurahan lain, dinas, maupun instansi lainnya)</t>
  </si>
  <si>
    <t>Terlaksananya kegiatan membantu Lurah, Kasi Kaur, dan Dukuh dalam pelaksanaan tugas selain yang sudah tercantum dalam output kegiatan.</t>
  </si>
  <si>
    <t xml:space="preserve">Staf </t>
  </si>
  <si>
    <t>LURAH…………………….</t>
  </si>
  <si>
    <t>Temapt, tangga;</t>
  </si>
  <si>
    <t>1. Jumlah target disesuaikan dengan kondisi masing-masing kalurahan</t>
  </si>
  <si>
    <t>Terlaksananya penyampaian Informasi ke Masyarakat dalam sebuah forum pertemuan terkait dengan bidang keagamaan, ketenagakerjaan, pemberdayaan perempuan, perlindungan anak, keluarga berencana, Pendidikan, kesehatan, pemuda, olahraga, karangtaruna dan penanggulangan kemiskinan. (contoh: Menghadiri pertemuan Kegiatan Posyandu, Kader, IP3M/PAUD, dll., kemudian menyampaikan informasi terkait tata cara/prosedur pengajuan BPJS PBI</t>
  </si>
  <si>
    <t>Terlaksananya Penyelenggaraan PAUD/TK/TPA/TKA/TPQ/Madrasah Non-Formal Milik Kalurahan Janten*</t>
  </si>
  <si>
    <t>Terlaksananya Penyaluran Honor Rois</t>
  </si>
  <si>
    <t>Tersusunnya dan terarsipkannya himpunan informasi mengenai regulasi, dan informasi terbaru sesuai bidang tugasnya, dan melaksanakan serta mengarsipkannya dengan tertib. (contoh: Mencari salinan landasan hukum tentang Posyandu, PAUD dll)</t>
  </si>
  <si>
    <t>Tersusunnya dan terarsipkannya himpunan informasi mengenai Kepemilikan Jaminan kesehatan masyarakat</t>
  </si>
  <si>
    <t>Terlaksananya Program Beasiswa</t>
  </si>
  <si>
    <t>Mengikuti pertemuan di Padukuhan dan atau Musduk</t>
  </si>
  <si>
    <t>Monev Beasiswa</t>
  </si>
  <si>
    <t>Janten, 10 Agustus 2026</t>
  </si>
  <si>
    <t>Terlaksananya sosialisasi, motivasi dan peningkatan kapasitas masyarakat di bidang ekonomi dan lingkungan hidup. (contoh: penyampaian informasi di dalam forum pertemuan tentang program pembanguanan di desa)</t>
  </si>
  <si>
    <t>Terlaksananya Pembangunan/Rehabilitasi/Peningkatan Perkerasan Jalan Desa</t>
  </si>
  <si>
    <t>Bulan</t>
  </si>
  <si>
    <t>Kegiatan</t>
  </si>
  <si>
    <t xml:space="preserve">Terlaksananya Pembangunan Jaringan Pengairan </t>
  </si>
  <si>
    <t>Terlaksanaya Pengisian Direktur Bumkal</t>
  </si>
  <si>
    <t>Terlaksanaya Bimtek/Pelatihan  Pengelolaan Bumkal</t>
  </si>
  <si>
    <t>Laporan</t>
  </si>
  <si>
    <t>Dokumen</t>
  </si>
  <si>
    <t>menginisiasi, mengkoordinasi dan atau menghadiri pertemuan lembaga (misal P3A Kelompok Tani, Gapoktan, KWT dll)</t>
  </si>
  <si>
    <t>Pemantauan terhadap Pemanfaatan  Lumbung pangan Kalurahan dan melaporkan kepada lurah baik lisan maupun tertulis</t>
  </si>
  <si>
    <t>Mengkoordinasi, memantau, memastikan dan atau ikut serta dalam penyusunan Rencana Definitif Kebutuhan Kelompok (RDKK)</t>
  </si>
  <si>
    <t xml:space="preserve">Mengikuti Musyawarah Rencana Pembangunan (Musrenbang) baik tingkat Kalurahan maupun Kapanewon </t>
  </si>
  <si>
    <t>Tersusunnya laporan pelaksanaan kegiatan Pembanguan per titik kegiatan dan Melaporan kepada lurah melalui Panata Laksana sarta Pangripta tentang hasil pembangunan) kemudian mengarsipkan</t>
  </si>
  <si>
    <t>Buku</t>
  </si>
  <si>
    <t>Mengikuti Pertemuan Tingkat Padukuhan dan atau Musyawarah Padukuhan (Musduk)</t>
  </si>
  <si>
    <t>Terlaksananya Informasi Publik Desa baik melalui media online maupun offline (Misal Banner APKal, Realisasi APBkal dll)</t>
  </si>
  <si>
    <t>Membuat, mengisi dan mengarsipkan Buku administrasi Pemangunan (Buku Rencana Pembangunan, Buku Kegiatan Pembangunan, Buku Inventaris dan Buku Kader Pembangunan )</t>
  </si>
  <si>
    <t xml:space="preserve">Tersusunnya arsip setiap dokumen dan/atau berkas atas bidang tugasnya (contoh: Mengarsipkan dokumen SPP-SPJ, berita acara, perjanjian, dll pada semua kegiatan bidang tugasnya dengan tertib sehingga apabila dibutuhkan setiap waktu siap untuk disajikan </t>
  </si>
  <si>
    <t>Penulisan Informasi/berita/artikel tentang kegiatan, potensi atau prestasi sesuai bidang tugasnya.</t>
  </si>
  <si>
    <t>Terlaksananya Monitoring dan Evaluasi terhadap Bantuan dan atau pembanguan yang telah dilaksanakan (Misal Perbaikan Atap TKK PKK, Perkerasan Jalan, Bantuan alat-alat pembuatan pupuk dsb ) dan melaporkan kepada lurah baik lisan maupun tertulis</t>
  </si>
  <si>
    <t>Menghadiri pertemuan Rutin Karangtaruna</t>
  </si>
  <si>
    <t>Menghadiri pertemuan Rutin PKK</t>
  </si>
  <si>
    <t>Menghadiri pertemuan Kader Posyandu</t>
  </si>
  <si>
    <t>Terlaksanannya pencermatan dan pembuatan surat sesuai tata naskah yang berlaku baik manual maupun melalui aplikasi persyuratan (contoh: membuat surat undangan, surat pengantar pengiriman Peraturan Kalurahan kepada Panewu Pengasih)</t>
  </si>
  <si>
    <t>Terlaksananya penulisan agenda kegiatan di papan jadwal agenda kegiatan dalam aplikasi online maupan media offline</t>
  </si>
  <si>
    <t xml:space="preserve">Berkoordinasi dengan Pamong lainnya dan memastikan dokumen administrasi Pamong Kalurahan dilaksanakan sebagaimana peraturan yang berlaku (misal berkoordinasi dengan Ulu-ulu terkait Buku administrasi  Pembangunan, berkoordinasi dengan carik terkait buku agenda perkal berkoordinasi dengan Jagabay terkait administrasi pertanahan dll). </t>
  </si>
  <si>
    <t>Terlaksananya penyediaan prasarana pamong kalurahan (contoh: ATK, alat kebersihan dan alat listrikl)</t>
  </si>
  <si>
    <r>
      <t xml:space="preserve">perjanjian kerja sama dengan penyedia atas pengadaan barang/jasa </t>
    </r>
    <r>
      <rPr>
        <i/>
        <sz val="12"/>
        <color theme="1"/>
        <rFont val="Bookman Old Style"/>
        <family val="1"/>
      </rPr>
      <t>( perjanjiann konsultan pembanguan, berkoordinasi dengan ulu-ulu terkait pengadaan meterial pembangunan kantor)</t>
    </r>
  </si>
  <si>
    <r>
      <t xml:space="preserve">Tersusunnya laporan pelaksanaan kegiatan kepada Lurah sesuai dengan bidang tugasnya. </t>
    </r>
    <r>
      <rPr>
        <i/>
        <sz val="12"/>
        <color rgb="FF000000"/>
        <rFont val="Bookman Old Style"/>
        <family val="1"/>
      </rPr>
      <t>(laporan pelaksanaan pembangunan kantor)</t>
    </r>
  </si>
  <si>
    <t>SETIDAKNYA LAP ASET</t>
  </si>
  <si>
    <t>Jumlah l s/d p</t>
  </si>
  <si>
    <t xml:space="preserve">Terlaksananya register surat masuk, baik secara langsung/offline maupun melalui SID/suratku/elektronik), menyampiakan kepada lurah dan atau lainnya serta menyampaikan disposisi surat </t>
  </si>
  <si>
    <t xml:space="preserve">Terlaksananya registrasi surat keluar baik secara langsung/offline maupun melalui SID/suratku/elektronik) dan mengkoordinasi pendistribusianya (contoh: Penulisan nomor pada buku agenda surat keluar kepada Dinas PMD Dalduk dan KB </t>
  </si>
  <si>
    <t>t</t>
  </si>
  <si>
    <t>Penyaluran siltap dan Jaminan Sosial bagi Lurah dan Pamong*</t>
  </si>
  <si>
    <t>Terlaksananya Kegiatan Pembinaan terhadap Linmas, Forum Jagawarga</t>
  </si>
  <si>
    <t>Terlaksananya kegiatan Upaya Perlindungan Masyarakat (Misal kegiatan yang dilakukakan linmas, Forum jaga warga. ikut dalam pengamanan terhadap kegiatan keramaian di desa</t>
  </si>
  <si>
    <t>Updating data kependudukan</t>
  </si>
  <si>
    <t>Peta</t>
  </si>
  <si>
    <t>Terlaksanannya update pencatatan dan Inventaris terkait dengan Pemanfaatan dan Pengelolaan Tanah Kalurahan sebagai Dasar dalam Penyusunan Peraturan Kalurahan tentang Pengelolaan Kekayaan Kalurahan. (contoh: daftar tanah kalurahan beserta  pemanfaatannya)</t>
  </si>
  <si>
    <t>Terpenuhinya Kebutuhan Operasional Kantor BPK</t>
  </si>
  <si>
    <t>Terlaksannya kegiatan RT RW</t>
  </si>
  <si>
    <t>Terlaksananya kegiatan Updating Aplikasi Prodeskel, IDM dan Sinkal</t>
  </si>
  <si>
    <t>Terlaksananya pendataan dan pengelolaan profil kalurahan di Web/Aplikasi Prodeskel, sinkal dan IDM(Profil Desa/Kelurahan)</t>
  </si>
  <si>
    <t>Tersusunnya Perjanjian Kinerja Lurah, Laporan Kinarja dan Survei Kepuasan Masyarakat</t>
  </si>
  <si>
    <t>Tersusunya Laporan Penyelenggaraan Pemerintah Kalurahan (LPPK)</t>
  </si>
  <si>
    <t>Bersama  Jagabaya</t>
  </si>
  <si>
    <t>Terlaksananya Pelatihan/Sosialisasi Penanggulangan Bencana</t>
  </si>
  <si>
    <t>Terlaksananya pengarsipan peta kalurahan yang ada dengan tertib.(Baik Hardcopy maupun Aplikasi/Digital)</t>
  </si>
  <si>
    <t>Terlaksananya evaluasi manajemen tata praja pemerintahan (evaluasi terhadap pelayanan dan kearsipan)</t>
  </si>
  <si>
    <t>Terlaksananya pelayanan kepada warga masyarakat terkait dengan bidang tugasnya. (contoh: Melayani konsultasi warga tentang tata cara/prosedur persyaratan-persyaratan pengajuan IMB, SKU dll)</t>
  </si>
  <si>
    <t>Terlaksanannya pelayanan bidang Kependudukan, dan ijin keramaian dll)</t>
  </si>
  <si>
    <t>Mengikuti Musyawarah Padukuhan dan atau pertemuan lainnya tingkat padukuhan (Musduk)</t>
  </si>
  <si>
    <t>Terlaksanannya pengadministrasian tanah kalurahan dan pemanfaatannya serta penyusunan Peraturan Kalurahan terkait dengan tanah kalurahan termasuk fasilitasi permohonan izin gubernur.</t>
  </si>
  <si>
    <t>Tersalurnya Siltap tujangan Pamong dan BPK</t>
  </si>
  <si>
    <t>Mengikuti Musyawarah Padukuhan dan atau pertemuan lainnya di tigka padukuhan (Musduk)</t>
  </si>
  <si>
    <t>Menerima, Menyetorkan  dan melakukakan pencatatan pendapatan kalurahan pada aplikasi siskeudes</t>
  </si>
  <si>
    <t>Pembinaan Ketentraman dan Ketertiban, mobilitas penduduk, penataan administratif (misal Koordinasi, ikut serta, atau monitoring kegiatan siskamling. Mencatat dan membukukan mobilisasi penduduk)</t>
  </si>
  <si>
    <t>Perencanaan, pelaksanaan dan evaluasi pembangunan di wilayahnya ( Misal Koordinasi dengan RT, RW, KKLKMK atau lainnya..)</t>
  </si>
  <si>
    <t>Terlaksananya pemantauan dan melaporkan kepada lurah terkait dengan penggunaan dan pemanfaatan tanah kalurahan di wilayah masing-masing (contoh: Pemantauan terhadap tanah Kalurahan yang diapaki Fasum/Fasus dan membukukan dalam dalam buku khusus sehingga dapt dibukukan jika terdapat perubahan penggunan</t>
  </si>
  <si>
    <t>Tersusunnya dan terarsipkannya himpunan informasi mengenai regulasi, dan informasi terbaru sesuai bidang tugasnya, dan melaksanakan serta mengarsipkannya dengan tertib.(misal Mengarsip Perkal, Perbup dan atau mambuat database kependudukan diwilayahnya)</t>
  </si>
  <si>
    <t>Terlaksananya pendampingan pengantaran ODGJ, Donor darah atau Pengobatan</t>
  </si>
  <si>
    <t>terlaksananya rapat koordinasi dan atau evaluasi PBB dan melaporkan hasilnya kepada lurah</t>
  </si>
  <si>
    <t>Mengadakan Musyawarah Padukuhan (Musduk) dan atau pertemuan lainnya</t>
  </si>
  <si>
    <t>Terlaksananya pelayanan kepada warga masyarakat terkait dengan pernikahan. (contoh: Melayani konsultasi warga tentang tata cara/prosedur persyaratan-persyaratan pernikahan, izin melaksanakan Pengajian  lainnya)</t>
  </si>
  <si>
    <t>Kehadiran di kegiatan latihan, pementasan atau kegiatan latihan serta memberikan motivasi maupun informasi berkaitan dengan kegiatan kebudayaan kepada kelompok tersebut. (contoh: menghadiri kegiatan latihan Sholawat, Ketoprak, hadroh, dll kemudian memberikan informasi mengenai informasi/regulasi terbaru tentang prosedur pengajuan proposal dalam rangka pengembangan kegiatan tersebut</t>
  </si>
  <si>
    <t>Terlaksananya penyuluhan dan motivasi di dalam forum pertemuan terhadap pelaksanaan hak dan kewajiban masyarakat. (contoh: penyampaian informasi tentang gaya hidup sehat, pelayanan di kalurahan, pajak, gotong royong dll)</t>
  </si>
  <si>
    <t>Terlaksananya pendampingan terkait pelaksanaan kegiatan kebudayaan yang ada di kalurahan (contoh: Menghadiri latihan kegiatan Merti Padukuhan, Wiwitan, Puputan, Tingkepan, dll., sehingga mengetahui terkait dengan eksistensi kegiatan tersebut yang dapat digunakan sebagai dasar perencanaan kegiatan di APBKAL maupun kegiatan dari dinas terkait)</t>
  </si>
  <si>
    <t>Berkoordinasi bersama carik dan pamong melakukan Penyusunan Dokumen Keuangan Kalurahan (misal: memberi masukan terkait laporan keuangan sehingga menjadi dasar penyusunan APB Kalurahan/APB Kalurahan Perubahan/LPJ APB Kalurahan, dll)*</t>
  </si>
  <si>
    <t>Mengajukan permohonan pencairan Alokasi Dana desa (ADD)</t>
  </si>
  <si>
    <t>Tersusunnya dan terarsipkannya himpunan informasi mengenai regulasi, dan informasi terbaru sesuai bidang tugasnya, dan melaksanakan serta mengarsipkannya dengan tertib. (contoh: Pencarian Permendesa tentang Prioritas Penggunaan Dana Desa dll  kemudian mererapkan  sekaligus mengarsipkannya dengan tertib)</t>
  </si>
  <si>
    <t>Melakukan  transaksi dengan menggunakan aplikasi smartdesaku</t>
  </si>
  <si>
    <t>mengikuti rapat koordinasi dan atau apel rutin</t>
  </si>
  <si>
    <t>Terlaksananya tugas disposisi surat, undangan dan/atau tugas lain dari Lurah dan melaporkan hasil pelaksanaannya kepada Lurah. (termasuk Undangan Kalurahan atau kapanewon)</t>
  </si>
  <si>
    <t>Terlaksananya koordinasi pelaksanaan inventarisasi aset kalurahan (contoh: koordinasi kepada Palapa untuk melaksanakan kegiatan inventarisasi aset Kalurahan Janten)</t>
  </si>
  <si>
    <t>Membuat rencana pencairan, melakukan transaksi dan membukukan pada aplikasi siskeudes</t>
  </si>
  <si>
    <t>Terlaksananya Monitoring kegiatan siskamling</t>
  </si>
  <si>
    <t>Terlaksanannya koordinasi Pencegahan dan atau penanggulangan bencana. (contoh: Hadir dan aktif berkoordinasi dengan pihak terkait saat terjadi bencana banjir, kebakaran, pohon tumbang)</t>
  </si>
  <si>
    <t>Terlaksananya pengembangan Sistem Informasi Kalurahan</t>
  </si>
  <si>
    <t>Tersusunnya laporan pelaksanaan kegiatan kepada Lurah sesuai dengan bidang tugasnya. (contoh: Menyampaikan laporan baik secara tertulis  kepada Lurah setelah melaksanakan penyelesaian permasalahan social yang terjadi di masyarakat, atau kegiatan lainnya baik yaang dianggarak APBKal maupun tidak dianggarkan)</t>
  </si>
  <si>
    <t>Terlaksananya monitoring dan evaluasi program kegiatan sesuai bidang tugasnya dan melaporkannya kepada lurah setiap bulan. (contoh: Melakukan evaluasi terhadap kegiatan yang dilakukakan di wilayahnua dan Melaporkan kepada lurah, termasuk permasalahan, hambatan, serta solusinya)</t>
  </si>
  <si>
    <t>Terlaksanannya pengkondisian permasalahan dan/atau bencana yang terjadi di wilayahnya selanjutnya melaporkan kepada lurah (contoh: banjir, tanah longsor, masalah sosial kemasyarakatan, dll)</t>
  </si>
  <si>
    <r>
      <t xml:space="preserve">Tercapainya Pembayaran PBB-P2 (non-Tanah Desa) di Padukuhan dalam </t>
    </r>
    <r>
      <rPr>
        <b/>
        <sz val="12"/>
        <color theme="1"/>
        <rFont val="Times New Roman"/>
        <family val="1"/>
      </rPr>
      <t xml:space="preserve">
(5 SPPT=1 poin).</t>
    </r>
  </si>
  <si>
    <t>Tersusunnya laporan pelaksanaan kegiatan kepada Lurah sesuai dengan bidang tugasnya (contoh: Menyampaikan laporan secara lisan tertulis kepada Lurah tentang sosial kemasyarakatan, keagaman, kesehatan dan kebudayaan misalnya pelaksanaan PMT, Tracing kesehatan , pemantuan jentik dll)</t>
  </si>
  <si>
    <t>Melakukan Pemotongan Pajak, input biling, menyetorkan dan mencatatkan pada aplikasi siskeudes  Paling lambat 5 hari bulan berikutnya</t>
  </si>
  <si>
    <t>Tersusunnya Laporan Kepada lurah tentang kegiatan yang diikuti (Misal : Hasil rapat, kelompoktani, gapotan, musyawarah musim tanam kemudian mempublikasikan kepada masayarakat baik secara tertulis maupun melalui forum pertemuan</t>
  </si>
  <si>
    <t>solar, pertalite,(xstar)</t>
  </si>
  <si>
    <t>Terlaksananya koordinasi penyusunan dan pelaksanaan kebijakan anggaran pendapatan dan belanja kalurahan (Koordinasi pelaksanaan kegiatan sinkronisasi dengan sumber dana)</t>
  </si>
  <si>
    <t>Janten, 10 agustus 2026</t>
  </si>
  <si>
    <t>Surat/dokumen</t>
  </si>
  <si>
    <t>LURAH KALIDENGEN</t>
  </si>
  <si>
    <t>:</t>
  </si>
  <si>
    <t>MUH MASRURI MUSTOFA, S.T</t>
  </si>
  <si>
    <t>SUNARDI</t>
  </si>
  <si>
    <t>SUMARDI</t>
  </si>
  <si>
    <t>VIKI WULANDARI</t>
  </si>
  <si>
    <t>SARIDI</t>
  </si>
  <si>
    <t>ULU  ULU</t>
  </si>
  <si>
    <t>SUBARNO</t>
  </si>
  <si>
    <t>AGUS ENDARTO</t>
  </si>
  <si>
    <t>Kalidengen, 10 Agustus 2026</t>
  </si>
  <si>
    <t>Kalidengen , 10 Agustus 2026</t>
  </si>
</sst>
</file>

<file path=xl/styles.xml><?xml version="1.0" encoding="utf-8"?>
<styleSheet xmlns="http://schemas.openxmlformats.org/spreadsheetml/2006/main" xmlns:mc="http://schemas.openxmlformats.org/markup-compatibility/2006" xmlns:x14ac="http://schemas.microsoft.com/office/spreadsheetml/2009/9/ac" mc:Ignorable="x14ac">
  <fonts count="43" x14ac:knownFonts="1">
    <font>
      <sz val="11"/>
      <color theme="1"/>
      <name val="Calibri"/>
      <family val="2"/>
      <scheme val="minor"/>
    </font>
    <font>
      <b/>
      <sz val="11"/>
      <color theme="1"/>
      <name val="Times New Roman"/>
      <family val="1"/>
    </font>
    <font>
      <sz val="11"/>
      <color theme="1"/>
      <name val="Times New Roman"/>
      <family val="1"/>
    </font>
    <font>
      <b/>
      <sz val="10"/>
      <color theme="1"/>
      <name val="Times New Roman"/>
      <family val="1"/>
    </font>
    <font>
      <b/>
      <i/>
      <sz val="10"/>
      <color theme="1"/>
      <name val="Times New Roman"/>
      <family val="1"/>
    </font>
    <font>
      <sz val="10"/>
      <color theme="1"/>
      <name val="Times New Roman"/>
      <family val="1"/>
    </font>
    <font>
      <sz val="10"/>
      <color rgb="FF000000"/>
      <name val="Times New Roman"/>
      <family val="1"/>
    </font>
    <font>
      <sz val="12"/>
      <color rgb="FF000000"/>
      <name val="Times New Roman"/>
      <family val="1"/>
    </font>
    <font>
      <b/>
      <sz val="12"/>
      <color theme="1"/>
      <name val="Times New Roman"/>
      <family val="1"/>
    </font>
    <font>
      <sz val="12"/>
      <color theme="1"/>
      <name val="Times New Roman"/>
      <family val="1"/>
    </font>
    <font>
      <sz val="12"/>
      <color theme="1"/>
      <name val="Calibri"/>
      <family val="2"/>
      <scheme val="minor"/>
    </font>
    <font>
      <b/>
      <i/>
      <sz val="12"/>
      <color theme="1"/>
      <name val="Times New Roman"/>
      <family val="1"/>
    </font>
    <font>
      <i/>
      <sz val="12"/>
      <color theme="1"/>
      <name val="Times New Roman"/>
      <family val="1"/>
    </font>
    <font>
      <sz val="9"/>
      <color indexed="81"/>
      <name val="Tahoma"/>
      <charset val="1"/>
    </font>
    <font>
      <b/>
      <sz val="9"/>
      <color indexed="81"/>
      <name val="Tahoma"/>
      <charset val="1"/>
    </font>
    <font>
      <sz val="11"/>
      <color rgb="FFFF0000"/>
      <name val="Calibri"/>
      <family val="2"/>
      <scheme val="minor"/>
    </font>
    <font>
      <sz val="9"/>
      <color theme="1"/>
      <name val="Calibri"/>
      <family val="2"/>
      <scheme val="minor"/>
    </font>
    <font>
      <sz val="12"/>
      <color rgb="FFFF0000"/>
      <name val="Times New Roman"/>
      <family val="1"/>
    </font>
    <font>
      <b/>
      <i/>
      <sz val="9"/>
      <color theme="1"/>
      <name val="Times New Roman"/>
      <family val="1"/>
    </font>
    <font>
      <b/>
      <sz val="12"/>
      <name val="Times New Roman"/>
      <family val="1"/>
    </font>
    <font>
      <sz val="12"/>
      <name val="Times New Roman"/>
      <family val="1"/>
    </font>
    <font>
      <b/>
      <sz val="11"/>
      <color theme="1"/>
      <name val="Bookman Old Style"/>
      <family val="1"/>
    </font>
    <font>
      <sz val="11"/>
      <color theme="1"/>
      <name val="Bookman Old Style"/>
      <family val="1"/>
    </font>
    <font>
      <b/>
      <sz val="12"/>
      <color theme="1"/>
      <name val="Bookman Old Style"/>
      <family val="1"/>
    </font>
    <font>
      <sz val="12"/>
      <color theme="1"/>
      <name val="Bookman Old Style"/>
      <family val="1"/>
    </font>
    <font>
      <b/>
      <sz val="10"/>
      <color theme="1"/>
      <name val="Bookman Old Style"/>
      <family val="1"/>
    </font>
    <font>
      <b/>
      <i/>
      <sz val="12"/>
      <color theme="1"/>
      <name val="Bookman Old Style"/>
      <family val="1"/>
    </font>
    <font>
      <b/>
      <i/>
      <sz val="10"/>
      <color theme="1"/>
      <name val="Bookman Old Style"/>
      <family val="1"/>
    </font>
    <font>
      <sz val="12"/>
      <color rgb="FF000000"/>
      <name val="Bookman Old Style"/>
      <family val="1"/>
    </font>
    <font>
      <sz val="11"/>
      <color rgb="FF000000"/>
      <name val="Bookman Old Style"/>
      <family val="1"/>
    </font>
    <font>
      <sz val="10"/>
      <color theme="1"/>
      <name val="Bookman Old Style"/>
      <family val="1"/>
    </font>
    <font>
      <sz val="10"/>
      <color rgb="FF000000"/>
      <name val="Bookman Old Style"/>
      <family val="1"/>
    </font>
    <font>
      <b/>
      <sz val="10"/>
      <name val="Bookman Old Style"/>
      <family val="1"/>
    </font>
    <font>
      <sz val="13"/>
      <color theme="1"/>
      <name val="Bookman Old Style"/>
      <family val="1"/>
    </font>
    <font>
      <sz val="12"/>
      <name val="Bookman Old Style"/>
      <family val="1"/>
    </font>
    <font>
      <sz val="12"/>
      <color rgb="FFFF0000"/>
      <name val="Bookman Old Style"/>
      <family val="1"/>
    </font>
    <font>
      <b/>
      <sz val="12"/>
      <name val="Bookman Old Style"/>
      <family val="1"/>
    </font>
    <font>
      <i/>
      <sz val="12"/>
      <color theme="1"/>
      <name val="Bookman Old Style"/>
      <family val="1"/>
    </font>
    <font>
      <i/>
      <sz val="12"/>
      <color rgb="FF000000"/>
      <name val="Bookman Old Style"/>
      <family val="1"/>
    </font>
    <font>
      <i/>
      <sz val="9"/>
      <color theme="1"/>
      <name val="Bookman Old Style"/>
      <family val="1"/>
    </font>
    <font>
      <sz val="9"/>
      <color theme="1"/>
      <name val="Bookman Old Style"/>
      <family val="1"/>
    </font>
    <font>
      <b/>
      <sz val="12"/>
      <color rgb="FF000000"/>
      <name val="Bookman Old Style"/>
      <family val="1"/>
    </font>
    <font>
      <sz val="11"/>
      <color theme="1"/>
      <name val="Calibri"/>
      <family val="2"/>
      <scheme val="minor"/>
    </font>
  </fonts>
  <fills count="12">
    <fill>
      <patternFill patternType="none"/>
    </fill>
    <fill>
      <patternFill patternType="gray125"/>
    </fill>
    <fill>
      <patternFill patternType="solid">
        <fgColor rgb="FFD9D9D9"/>
        <bgColor indexed="64"/>
      </patternFill>
    </fill>
    <fill>
      <patternFill patternType="solid">
        <fgColor theme="0"/>
        <bgColor indexed="64"/>
      </patternFill>
    </fill>
    <fill>
      <patternFill patternType="solid">
        <fgColor rgb="FFD9D9D9"/>
        <bgColor rgb="FFD9D9D9"/>
      </patternFill>
    </fill>
    <fill>
      <patternFill patternType="solid">
        <fgColor theme="0" tint="-0.499984740745262"/>
        <bgColor indexed="64"/>
      </patternFill>
    </fill>
    <fill>
      <patternFill patternType="solid">
        <fgColor theme="9" tint="0.39997558519241921"/>
        <bgColor indexed="64"/>
      </patternFill>
    </fill>
    <fill>
      <patternFill patternType="solid">
        <fgColor theme="7" tint="0.59999389629810485"/>
        <bgColor indexed="64"/>
      </patternFill>
    </fill>
    <fill>
      <patternFill patternType="solid">
        <fgColor theme="1" tint="0.14999847407452621"/>
        <bgColor indexed="64"/>
      </patternFill>
    </fill>
    <fill>
      <patternFill patternType="solid">
        <fgColor theme="1"/>
        <bgColor indexed="64"/>
      </patternFill>
    </fill>
    <fill>
      <patternFill patternType="solid">
        <fgColor theme="5" tint="0.59999389629810485"/>
        <bgColor indexed="64"/>
      </patternFill>
    </fill>
    <fill>
      <patternFill patternType="solid">
        <fgColor rgb="FF00B050"/>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style="thin">
        <color indexed="64"/>
      </top>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medium">
        <color indexed="64"/>
      </left>
      <right style="medium">
        <color indexed="64"/>
      </right>
      <top style="medium">
        <color indexed="64"/>
      </top>
      <bottom style="medium">
        <color indexed="64"/>
      </bottom>
      <diagonal/>
    </border>
  </borders>
  <cellStyleXfs count="2">
    <xf numFmtId="0" fontId="0" fillId="0" borderId="0"/>
    <xf numFmtId="9" fontId="42" fillId="0" borderId="0" applyFont="0" applyFill="0" applyBorder="0" applyAlignment="0" applyProtection="0"/>
  </cellStyleXfs>
  <cellXfs count="396">
    <xf numFmtId="0" fontId="0" fillId="0" borderId="0" xfId="0"/>
    <xf numFmtId="0" fontId="2" fillId="0" borderId="0" xfId="0" applyFont="1"/>
    <xf numFmtId="0" fontId="5" fillId="0" borderId="1" xfId="0" applyFont="1" applyBorder="1" applyAlignment="1">
      <alignment horizontal="justify" vertical="center" wrapText="1"/>
    </xf>
    <xf numFmtId="0" fontId="6" fillId="0" borderId="1" xfId="0" applyFont="1" applyBorder="1" applyAlignment="1">
      <alignment horizontal="justify" vertical="center" wrapText="1"/>
    </xf>
    <xf numFmtId="0" fontId="1" fillId="0" borderId="0" xfId="0" applyFont="1" applyAlignment="1">
      <alignment horizontal="center"/>
    </xf>
    <xf numFmtId="0" fontId="4" fillId="0" borderId="1" xfId="0" applyFont="1" applyBorder="1" applyAlignment="1">
      <alignment horizontal="center" vertical="center" wrapText="1"/>
    </xf>
    <xf numFmtId="0" fontId="4" fillId="2" borderId="1" xfId="0" applyFont="1" applyFill="1" applyBorder="1" applyAlignment="1">
      <alignment horizontal="center" vertical="center" wrapText="1"/>
    </xf>
    <xf numFmtId="0" fontId="5" fillId="0" borderId="1" xfId="0" applyFont="1" applyBorder="1" applyAlignment="1">
      <alignment horizontal="center" vertical="center" wrapText="1"/>
    </xf>
    <xf numFmtId="0" fontId="3" fillId="0" borderId="1" xfId="0" applyFont="1" applyBorder="1" applyAlignment="1">
      <alignment horizontal="center" vertical="center" wrapText="1"/>
    </xf>
    <xf numFmtId="0" fontId="8" fillId="0" borderId="0" xfId="0" applyFont="1" applyAlignment="1">
      <alignment horizontal="center"/>
    </xf>
    <xf numFmtId="0" fontId="9" fillId="0" borderId="0" xfId="0" applyFont="1" applyAlignment="1">
      <alignment horizontal="left" vertical="center"/>
    </xf>
    <xf numFmtId="0" fontId="10" fillId="0" borderId="0" xfId="0" applyFont="1" applyAlignment="1">
      <alignment horizontal="left" vertical="center"/>
    </xf>
    <xf numFmtId="0" fontId="11" fillId="0" borderId="1" xfId="0" applyFont="1" applyBorder="1" applyAlignment="1">
      <alignment horizontal="center" vertical="center" wrapText="1"/>
    </xf>
    <xf numFmtId="0" fontId="11" fillId="2" borderId="1" xfId="0" applyFont="1" applyFill="1" applyBorder="1" applyAlignment="1">
      <alignment horizontal="left" vertical="center" wrapText="1"/>
    </xf>
    <xf numFmtId="0" fontId="7" fillId="0" borderId="1" xfId="0" applyFont="1" applyBorder="1" applyAlignment="1">
      <alignment horizontal="left" vertical="center" wrapText="1"/>
    </xf>
    <xf numFmtId="0" fontId="10" fillId="0" borderId="0" xfId="0" applyFont="1" applyAlignment="1">
      <alignment vertical="center"/>
    </xf>
    <xf numFmtId="0" fontId="9" fillId="0" borderId="0" xfId="0" applyFont="1"/>
    <xf numFmtId="0" fontId="10" fillId="0" borderId="0" xfId="0" applyFont="1"/>
    <xf numFmtId="0" fontId="11" fillId="2" borderId="1" xfId="0" applyFont="1" applyFill="1" applyBorder="1" applyAlignment="1">
      <alignment horizontal="center" vertical="center" wrapText="1"/>
    </xf>
    <xf numFmtId="0" fontId="9" fillId="0" borderId="1" xfId="0" applyFont="1" applyBorder="1" applyAlignment="1">
      <alignment horizontal="center" vertical="center" wrapText="1"/>
    </xf>
    <xf numFmtId="0" fontId="7" fillId="0" borderId="1" xfId="0" applyFont="1" applyBorder="1" applyAlignment="1">
      <alignment horizontal="justify" vertical="center" wrapText="1"/>
    </xf>
    <xf numFmtId="0" fontId="7" fillId="0" borderId="1" xfId="0" applyFont="1" applyBorder="1" applyAlignment="1">
      <alignment horizontal="center" vertical="center" wrapText="1"/>
    </xf>
    <xf numFmtId="0" fontId="9" fillId="0" borderId="1" xfId="0" applyFont="1" applyBorder="1" applyAlignment="1">
      <alignment horizontal="center" vertical="center"/>
    </xf>
    <xf numFmtId="0" fontId="7" fillId="0" borderId="1" xfId="0" applyFont="1" applyBorder="1" applyAlignment="1">
      <alignment vertical="top" wrapText="1"/>
    </xf>
    <xf numFmtId="0" fontId="9" fillId="0" borderId="0" xfId="0" applyFont="1" applyAlignment="1">
      <alignment horizontal="center" vertical="center"/>
    </xf>
    <xf numFmtId="0" fontId="10" fillId="0" borderId="0" xfId="0" applyFont="1" applyAlignment="1">
      <alignment horizontal="center" vertical="center"/>
    </xf>
    <xf numFmtId="0" fontId="5" fillId="0" borderId="2" xfId="0" applyFont="1" applyBorder="1" applyAlignment="1">
      <alignment horizontal="center" vertical="center" wrapText="1"/>
    </xf>
    <xf numFmtId="0" fontId="7" fillId="0" borderId="0" xfId="0" applyFont="1" applyAlignment="1">
      <alignment wrapText="1"/>
    </xf>
    <xf numFmtId="0" fontId="9" fillId="0" borderId="2" xfId="0" applyFont="1" applyBorder="1" applyAlignment="1">
      <alignment horizontal="center" vertical="center" wrapText="1"/>
    </xf>
    <xf numFmtId="0" fontId="7" fillId="0" borderId="2" xfId="0" applyFont="1" applyBorder="1" applyAlignment="1">
      <alignment horizontal="center" vertical="center" wrapText="1"/>
    </xf>
    <xf numFmtId="0" fontId="7" fillId="0" borderId="1" xfId="0" applyFont="1" applyBorder="1" applyAlignment="1">
      <alignment wrapText="1"/>
    </xf>
    <xf numFmtId="0" fontId="1" fillId="3" borderId="0" xfId="0" applyFont="1" applyFill="1" applyAlignment="1">
      <alignment horizontal="center"/>
    </xf>
    <xf numFmtId="0" fontId="2" fillId="3" borderId="0" xfId="0" applyFont="1" applyFill="1"/>
    <xf numFmtId="0" fontId="0" fillId="3" borderId="0" xfId="0" applyFill="1"/>
    <xf numFmtId="0" fontId="3" fillId="3" borderId="1" xfId="0" applyFont="1" applyFill="1" applyBorder="1" applyAlignment="1">
      <alignment horizontal="center" vertical="center" wrapText="1"/>
    </xf>
    <xf numFmtId="0" fontId="4" fillId="3" borderId="1" xfId="0" applyFont="1" applyFill="1" applyBorder="1" applyAlignment="1">
      <alignment horizontal="center" vertical="center" wrapText="1"/>
    </xf>
    <xf numFmtId="0" fontId="9" fillId="3" borderId="1" xfId="0" applyFont="1" applyFill="1" applyBorder="1" applyAlignment="1">
      <alignment horizontal="center" vertical="center" wrapText="1"/>
    </xf>
    <xf numFmtId="0" fontId="5" fillId="3" borderId="1" xfId="0" applyFont="1" applyFill="1" applyBorder="1" applyAlignment="1">
      <alignment horizontal="justify" vertical="center" wrapText="1"/>
    </xf>
    <xf numFmtId="0" fontId="6" fillId="3" borderId="1" xfId="0" applyFont="1" applyFill="1" applyBorder="1" applyAlignment="1">
      <alignment horizontal="justify" vertical="center" wrapText="1"/>
    </xf>
    <xf numFmtId="0" fontId="5" fillId="3" borderId="1" xfId="0" applyFont="1" applyFill="1" applyBorder="1" applyAlignment="1">
      <alignment horizontal="center" vertical="center" wrapText="1"/>
    </xf>
    <xf numFmtId="0" fontId="8" fillId="0" borderId="1" xfId="0" applyFont="1" applyBorder="1" applyAlignment="1">
      <alignment horizontal="center" vertical="center" wrapText="1"/>
    </xf>
    <xf numFmtId="0" fontId="8" fillId="0" borderId="0" xfId="0" applyFont="1" applyAlignment="1">
      <alignment horizontal="left"/>
    </xf>
    <xf numFmtId="0" fontId="9" fillId="0" borderId="0" xfId="0" applyFont="1" applyAlignment="1">
      <alignment horizontal="left"/>
    </xf>
    <xf numFmtId="0" fontId="10" fillId="0" borderId="0" xfId="0" applyFont="1" applyAlignment="1">
      <alignment horizontal="left"/>
    </xf>
    <xf numFmtId="0" fontId="11" fillId="0" borderId="1" xfId="0" applyFont="1" applyBorder="1" applyAlignment="1">
      <alignment horizontal="left" vertical="center" wrapText="1"/>
    </xf>
    <xf numFmtId="0" fontId="9" fillId="0" borderId="1" xfId="0" applyFont="1" applyBorder="1" applyAlignment="1">
      <alignment horizontal="left" vertical="center" wrapText="1"/>
    </xf>
    <xf numFmtId="0" fontId="7" fillId="0" borderId="1" xfId="0" applyFont="1" applyBorder="1" applyAlignment="1">
      <alignment horizontal="left" vertical="top" wrapText="1"/>
    </xf>
    <xf numFmtId="0" fontId="7" fillId="0" borderId="1" xfId="0" applyFont="1" applyBorder="1" applyAlignment="1">
      <alignment horizontal="left" vertical="center"/>
    </xf>
    <xf numFmtId="0" fontId="9" fillId="0" borderId="2" xfId="0" applyFont="1" applyBorder="1" applyAlignment="1">
      <alignment horizontal="left" vertical="center" wrapText="1"/>
    </xf>
    <xf numFmtId="0" fontId="5" fillId="0" borderId="1" xfId="0" applyFont="1" applyBorder="1" applyAlignment="1">
      <alignment horizontal="center" vertical="top" wrapText="1"/>
    </xf>
    <xf numFmtId="0" fontId="9" fillId="0" borderId="1" xfId="0" applyFont="1" applyBorder="1" applyAlignment="1">
      <alignment horizontal="left" vertical="top" wrapText="1"/>
    </xf>
    <xf numFmtId="0" fontId="9" fillId="0" borderId="1" xfId="0" applyFont="1" applyBorder="1" applyAlignment="1">
      <alignment horizontal="center" vertical="top" wrapText="1"/>
    </xf>
    <xf numFmtId="0" fontId="9" fillId="0" borderId="0" xfId="0" applyFont="1" applyAlignment="1">
      <alignment horizontal="center" vertical="top"/>
    </xf>
    <xf numFmtId="0" fontId="10" fillId="0" borderId="0" xfId="0" applyFont="1" applyAlignment="1">
      <alignment horizontal="center" vertical="top"/>
    </xf>
    <xf numFmtId="0" fontId="12" fillId="0" borderId="1" xfId="0" applyFont="1" applyBorder="1" applyAlignment="1">
      <alignment horizontal="center" vertical="top" wrapText="1"/>
    </xf>
    <xf numFmtId="0" fontId="12" fillId="2" borderId="1" xfId="0" applyFont="1" applyFill="1" applyBorder="1" applyAlignment="1">
      <alignment horizontal="center" vertical="top" wrapText="1"/>
    </xf>
    <xf numFmtId="0" fontId="9" fillId="0" borderId="1" xfId="0" applyFont="1" applyBorder="1" applyAlignment="1">
      <alignment horizontal="center" vertical="top"/>
    </xf>
    <xf numFmtId="0" fontId="7" fillId="0" borderId="1" xfId="0" applyFont="1" applyBorder="1" applyAlignment="1">
      <alignment horizontal="center" vertical="top" wrapText="1"/>
    </xf>
    <xf numFmtId="0" fontId="7" fillId="0" borderId="1" xfId="0" applyFont="1" applyBorder="1" applyAlignment="1">
      <alignment horizontal="center" vertical="top"/>
    </xf>
    <xf numFmtId="0" fontId="9" fillId="0" borderId="2" xfId="0" applyFont="1" applyBorder="1" applyAlignment="1">
      <alignment horizontal="center" vertical="top" wrapText="1"/>
    </xf>
    <xf numFmtId="0" fontId="9" fillId="0" borderId="1" xfId="0" applyFont="1" applyBorder="1" applyAlignment="1">
      <alignment vertical="top" wrapText="1"/>
    </xf>
    <xf numFmtId="0" fontId="8" fillId="0" borderId="1" xfId="0" applyFont="1" applyBorder="1" applyAlignment="1">
      <alignment horizontal="justify" vertical="center" wrapText="1"/>
    </xf>
    <xf numFmtId="0" fontId="9" fillId="0" borderId="1" xfId="0" applyFont="1" applyBorder="1" applyAlignment="1">
      <alignment horizontal="justify" vertical="center" wrapText="1"/>
    </xf>
    <xf numFmtId="0" fontId="9" fillId="0" borderId="1" xfId="0" applyFont="1" applyBorder="1" applyAlignment="1">
      <alignment horizontal="justify" vertical="top" wrapText="1"/>
    </xf>
    <xf numFmtId="0" fontId="8" fillId="0" borderId="0" xfId="0" applyFont="1" applyAlignment="1">
      <alignment horizontal="center" vertical="top"/>
    </xf>
    <xf numFmtId="0" fontId="9" fillId="0" borderId="0" xfId="0" applyFont="1" applyAlignment="1">
      <alignment vertical="top"/>
    </xf>
    <xf numFmtId="0" fontId="10" fillId="0" borderId="0" xfId="0" applyFont="1" applyAlignment="1">
      <alignment vertical="top"/>
    </xf>
    <xf numFmtId="0" fontId="11" fillId="0" borderId="1" xfId="0" applyFont="1" applyBorder="1" applyAlignment="1">
      <alignment horizontal="center" vertical="top" wrapText="1"/>
    </xf>
    <xf numFmtId="0" fontId="11" fillId="2" borderId="1" xfId="0" applyFont="1" applyFill="1" applyBorder="1" applyAlignment="1">
      <alignment horizontal="center" vertical="top" wrapText="1"/>
    </xf>
    <xf numFmtId="0" fontId="17" fillId="0" borderId="10" xfId="0" applyFont="1" applyBorder="1" applyAlignment="1">
      <alignment horizontal="justify" vertical="center" wrapText="1"/>
    </xf>
    <xf numFmtId="0" fontId="17" fillId="0" borderId="11" xfId="0" applyFont="1" applyBorder="1" applyAlignment="1">
      <alignment horizontal="justify" vertical="center" wrapText="1"/>
    </xf>
    <xf numFmtId="0" fontId="9" fillId="0" borderId="1" xfId="0" applyFont="1" applyBorder="1" applyAlignment="1">
      <alignment vertical="top"/>
    </xf>
    <xf numFmtId="0" fontId="9" fillId="0" borderId="1" xfId="0" applyFont="1" applyBorder="1"/>
    <xf numFmtId="0" fontId="9" fillId="0" borderId="1" xfId="0" applyFont="1" applyBorder="1" applyAlignment="1">
      <alignment horizontal="left" vertical="center"/>
    </xf>
    <xf numFmtId="0" fontId="18" fillId="0" borderId="1" xfId="0" applyFont="1" applyBorder="1" applyAlignment="1">
      <alignment horizontal="center" vertical="top" wrapText="1"/>
    </xf>
    <xf numFmtId="0" fontId="18" fillId="0" borderId="1" xfId="0" applyFont="1" applyBorder="1" applyAlignment="1">
      <alignment horizontal="center" vertical="center" wrapText="1"/>
    </xf>
    <xf numFmtId="0" fontId="16" fillId="0" borderId="0" xfId="0" applyFont="1"/>
    <xf numFmtId="0" fontId="10" fillId="0" borderId="0" xfId="0" applyFont="1" applyAlignment="1">
      <alignment vertical="center" wrapText="1"/>
    </xf>
    <xf numFmtId="0" fontId="9" fillId="0" borderId="2" xfId="0" applyFont="1" applyBorder="1" applyAlignment="1">
      <alignment horizontal="justify" vertical="center" wrapText="1"/>
    </xf>
    <xf numFmtId="0" fontId="17" fillId="0" borderId="0" xfId="0" applyFont="1" applyAlignment="1">
      <alignment horizontal="justify" vertical="center" wrapText="1"/>
    </xf>
    <xf numFmtId="0" fontId="9" fillId="0" borderId="12" xfId="0" applyFont="1" applyBorder="1" applyAlignment="1">
      <alignment horizontal="justify" vertical="center" wrapText="1"/>
    </xf>
    <xf numFmtId="0" fontId="9" fillId="0" borderId="0" xfId="0" applyFont="1" applyAlignment="1">
      <alignment horizontal="center"/>
    </xf>
    <xf numFmtId="0" fontId="11" fillId="4" borderId="1" xfId="0" applyFont="1" applyFill="1" applyBorder="1" applyAlignment="1">
      <alignment horizontal="center" vertical="top" wrapText="1"/>
    </xf>
    <xf numFmtId="0" fontId="11" fillId="4" borderId="1" xfId="0" applyFont="1" applyFill="1" applyBorder="1" applyAlignment="1">
      <alignment horizontal="left" vertical="center" wrapText="1"/>
    </xf>
    <xf numFmtId="0" fontId="11" fillId="4" borderId="1" xfId="0" applyFont="1" applyFill="1" applyBorder="1" applyAlignment="1">
      <alignment horizontal="center" vertical="center" wrapText="1"/>
    </xf>
    <xf numFmtId="0" fontId="9" fillId="0" borderId="0" xfId="0" applyFont="1" applyAlignment="1">
      <alignment vertical="center" wrapText="1"/>
    </xf>
    <xf numFmtId="0" fontId="17" fillId="0" borderId="1" xfId="0" applyFont="1" applyBorder="1" applyAlignment="1">
      <alignment horizontal="left" vertical="center" wrapText="1"/>
    </xf>
    <xf numFmtId="0" fontId="17" fillId="0" borderId="14" xfId="0" applyFont="1" applyBorder="1" applyAlignment="1">
      <alignment horizontal="left" vertical="center" wrapText="1"/>
    </xf>
    <xf numFmtId="0" fontId="17" fillId="0" borderId="15" xfId="0" applyFont="1" applyBorder="1" applyAlignment="1">
      <alignment horizontal="left" vertical="center" wrapText="1"/>
    </xf>
    <xf numFmtId="0" fontId="9" fillId="0" borderId="1" xfId="0" applyFont="1" applyBorder="1" applyAlignment="1">
      <alignment horizontal="left"/>
    </xf>
    <xf numFmtId="0" fontId="9" fillId="0" borderId="0" xfId="0" applyFont="1" applyAlignment="1">
      <alignment vertical="center"/>
    </xf>
    <xf numFmtId="0" fontId="21" fillId="0" borderId="0" xfId="0" applyFont="1" applyAlignment="1">
      <alignment horizontal="center"/>
    </xf>
    <xf numFmtId="0" fontId="22" fillId="0" borderId="0" xfId="0" applyFont="1"/>
    <xf numFmtId="0" fontId="23" fillId="0" borderId="0" xfId="0" applyFont="1" applyAlignment="1">
      <alignment horizontal="center" vertical="top"/>
    </xf>
    <xf numFmtId="0" fontId="24" fillId="0" borderId="0" xfId="0" applyFont="1" applyAlignment="1">
      <alignment horizontal="center" vertical="top"/>
    </xf>
    <xf numFmtId="0" fontId="24" fillId="0" borderId="0" xfId="0" applyFont="1" applyAlignment="1">
      <alignment vertical="top"/>
    </xf>
    <xf numFmtId="0" fontId="24" fillId="0" borderId="0" xfId="0" applyFont="1" applyAlignment="1">
      <alignment horizontal="left" vertical="top"/>
    </xf>
    <xf numFmtId="0" fontId="25" fillId="0" borderId="1" xfId="0" applyFont="1" applyBorder="1" applyAlignment="1">
      <alignment horizontal="center" vertical="center" wrapText="1"/>
    </xf>
    <xf numFmtId="0" fontId="25" fillId="5" borderId="1" xfId="0" applyFont="1" applyFill="1" applyBorder="1" applyAlignment="1">
      <alignment horizontal="center" vertical="center" wrapText="1"/>
    </xf>
    <xf numFmtId="0" fontId="26" fillId="0" borderId="1" xfId="0" applyFont="1" applyBorder="1" applyAlignment="1">
      <alignment horizontal="center" vertical="top" wrapText="1"/>
    </xf>
    <xf numFmtId="0" fontId="27" fillId="0" borderId="1" xfId="0" applyFont="1" applyBorder="1" applyAlignment="1">
      <alignment horizontal="center" vertical="center" wrapText="1"/>
    </xf>
    <xf numFmtId="0" fontId="27" fillId="5" borderId="1" xfId="0" applyFont="1" applyFill="1" applyBorder="1" applyAlignment="1">
      <alignment horizontal="center" vertical="center" wrapText="1"/>
    </xf>
    <xf numFmtId="0" fontId="26" fillId="2" borderId="1" xfId="0" applyFont="1" applyFill="1" applyBorder="1" applyAlignment="1">
      <alignment horizontal="center" vertical="top" wrapText="1"/>
    </xf>
    <xf numFmtId="0" fontId="26" fillId="2" borderId="1" xfId="0" applyFont="1" applyFill="1" applyBorder="1" applyAlignment="1">
      <alignment horizontal="left" vertical="top" wrapText="1"/>
    </xf>
    <xf numFmtId="0" fontId="27" fillId="2" borderId="1" xfId="0" applyFont="1" applyFill="1" applyBorder="1" applyAlignment="1">
      <alignment horizontal="center" vertical="center" wrapText="1"/>
    </xf>
    <xf numFmtId="0" fontId="24" fillId="0" borderId="1" xfId="0" applyFont="1" applyBorder="1" applyAlignment="1">
      <alignment horizontal="center" vertical="top" wrapText="1"/>
    </xf>
    <xf numFmtId="0" fontId="28" fillId="0" borderId="1" xfId="0" applyFont="1" applyBorder="1" applyAlignment="1">
      <alignment horizontal="center" vertical="top" wrapText="1"/>
    </xf>
    <xf numFmtId="0" fontId="28" fillId="0" borderId="1" xfId="0" applyFont="1" applyBorder="1" applyAlignment="1">
      <alignment horizontal="justify" vertical="top"/>
    </xf>
    <xf numFmtId="0" fontId="29" fillId="0" borderId="1" xfId="0" applyFont="1" applyBorder="1" applyAlignment="1">
      <alignment horizontal="justify" vertical="center" wrapText="1"/>
    </xf>
    <xf numFmtId="0" fontId="30" fillId="5" borderId="1" xfId="0" applyFont="1" applyFill="1" applyBorder="1" applyAlignment="1">
      <alignment horizontal="center" vertical="center" wrapText="1"/>
    </xf>
    <xf numFmtId="0" fontId="30" fillId="0" borderId="1" xfId="0" applyFont="1" applyBorder="1" applyAlignment="1">
      <alignment horizontal="center" vertical="center" wrapText="1"/>
    </xf>
    <xf numFmtId="0" fontId="25" fillId="0" borderId="1" xfId="0" applyFont="1" applyBorder="1" applyAlignment="1">
      <alignment horizontal="justify" vertical="center" wrapText="1"/>
    </xf>
    <xf numFmtId="0" fontId="30" fillId="5" borderId="1" xfId="0" applyFont="1" applyFill="1" applyBorder="1" applyAlignment="1">
      <alignment horizontal="justify" vertical="center" wrapText="1"/>
    </xf>
    <xf numFmtId="0" fontId="30" fillId="0" borderId="1" xfId="0" applyFont="1" applyBorder="1" applyAlignment="1">
      <alignment horizontal="justify" vertical="center" wrapText="1"/>
    </xf>
    <xf numFmtId="0" fontId="28" fillId="0" borderId="1" xfId="0" applyFont="1" applyBorder="1" applyAlignment="1">
      <alignment vertical="top" wrapText="1"/>
    </xf>
    <xf numFmtId="0" fontId="31" fillId="5" borderId="1" xfId="0" applyFont="1" applyFill="1" applyBorder="1" applyAlignment="1">
      <alignment horizontal="justify" vertical="center" wrapText="1"/>
    </xf>
    <xf numFmtId="0" fontId="31" fillId="0" borderId="1" xfId="0" applyFont="1" applyBorder="1" applyAlignment="1">
      <alignment horizontal="justify" vertical="center" wrapText="1"/>
    </xf>
    <xf numFmtId="0" fontId="24" fillId="0" borderId="1" xfId="0" applyFont="1" applyBorder="1" applyAlignment="1">
      <alignment vertical="top" wrapText="1"/>
    </xf>
    <xf numFmtId="0" fontId="22" fillId="0" borderId="0" xfId="0" applyFont="1" applyAlignment="1">
      <alignment horizontal="center"/>
    </xf>
    <xf numFmtId="0" fontId="28" fillId="0" borderId="0" xfId="0" applyFont="1" applyAlignment="1">
      <alignment horizontal="left" vertical="center" wrapText="1"/>
    </xf>
    <xf numFmtId="0" fontId="28" fillId="0" borderId="0" xfId="0" applyFont="1" applyAlignment="1">
      <alignment wrapText="1"/>
    </xf>
    <xf numFmtId="0" fontId="28" fillId="0" borderId="0" xfId="0" applyFont="1" applyAlignment="1">
      <alignment vertical="top" wrapText="1"/>
    </xf>
    <xf numFmtId="0" fontId="28" fillId="0" borderId="16" xfId="0" applyFont="1" applyBorder="1" applyAlignment="1">
      <alignment horizontal="justify" vertical="center" wrapText="1"/>
    </xf>
    <xf numFmtId="0" fontId="28" fillId="0" borderId="1" xfId="0" applyFont="1" applyBorder="1" applyAlignment="1">
      <alignment wrapText="1"/>
    </xf>
    <xf numFmtId="0" fontId="32" fillId="0" borderId="1" xfId="0" applyFont="1" applyBorder="1" applyAlignment="1">
      <alignment horizontal="justify" vertical="center" wrapText="1"/>
    </xf>
    <xf numFmtId="0" fontId="22" fillId="0" borderId="0" xfId="0" applyFont="1" applyAlignment="1">
      <alignment horizontal="center" vertical="top"/>
    </xf>
    <xf numFmtId="0" fontId="24" fillId="0" borderId="0" xfId="0" applyFont="1" applyAlignment="1">
      <alignment horizontal="left" vertical="top" wrapText="1" indent="1"/>
    </xf>
    <xf numFmtId="0" fontId="24" fillId="0" borderId="0" xfId="0" applyFont="1" applyAlignment="1">
      <alignment horizontal="center" vertical="center"/>
    </xf>
    <xf numFmtId="0" fontId="25" fillId="0" borderId="1" xfId="0" applyFont="1" applyBorder="1" applyAlignment="1">
      <alignment horizontal="center" wrapText="1"/>
    </xf>
    <xf numFmtId="0" fontId="27" fillId="0" borderId="1" xfId="0" applyFont="1" applyBorder="1" applyAlignment="1">
      <alignment horizontal="center" vertical="top" wrapText="1"/>
    </xf>
    <xf numFmtId="0" fontId="28" fillId="0" borderId="1" xfId="0" applyFont="1" applyBorder="1" applyAlignment="1">
      <alignment horizontal="left" vertical="top" wrapText="1" indent="1"/>
    </xf>
    <xf numFmtId="0" fontId="22" fillId="0" borderId="1" xfId="0" applyFont="1" applyBorder="1" applyAlignment="1">
      <alignment horizontal="center" vertical="top"/>
    </xf>
    <xf numFmtId="0" fontId="24" fillId="0" borderId="1" xfId="0" applyFont="1" applyBorder="1" applyAlignment="1">
      <alignment horizontal="left" vertical="top" wrapText="1" indent="1"/>
    </xf>
    <xf numFmtId="0" fontId="28" fillId="0" borderId="1" xfId="0" applyFont="1" applyBorder="1" applyAlignment="1">
      <alignment horizontal="center" vertical="center" wrapText="1"/>
    </xf>
    <xf numFmtId="0" fontId="24" fillId="0" borderId="1" xfId="0" applyFont="1" applyBorder="1" applyAlignment="1">
      <alignment horizontal="left" vertical="top" wrapText="1"/>
    </xf>
    <xf numFmtId="0" fontId="29" fillId="0" borderId="1" xfId="0" applyFont="1" applyBorder="1" applyAlignment="1">
      <alignment horizontal="center" vertical="top" wrapText="1"/>
    </xf>
    <xf numFmtId="0" fontId="22" fillId="0" borderId="0" xfId="0" applyFont="1" applyAlignment="1">
      <alignment wrapText="1"/>
    </xf>
    <xf numFmtId="0" fontId="22" fillId="0" borderId="1" xfId="0" applyFont="1" applyBorder="1" applyAlignment="1">
      <alignment wrapText="1"/>
    </xf>
    <xf numFmtId="0" fontId="24" fillId="0" borderId="1" xfId="0" applyFont="1" applyBorder="1" applyAlignment="1">
      <alignment horizontal="center" vertical="top"/>
    </xf>
    <xf numFmtId="0" fontId="28" fillId="0" borderId="0" xfId="0" applyFont="1" applyAlignment="1">
      <alignment horizontal="center" vertical="top" wrapText="1"/>
    </xf>
    <xf numFmtId="0" fontId="28" fillId="0" borderId="0" xfId="0" applyFont="1" applyAlignment="1">
      <alignment horizontal="left" vertical="top" wrapText="1" indent="1"/>
    </xf>
    <xf numFmtId="0" fontId="24" fillId="0" borderId="1" xfId="0" applyFont="1" applyBorder="1" applyAlignment="1">
      <alignment horizontal="left" vertical="center" wrapText="1"/>
    </xf>
    <xf numFmtId="0" fontId="33" fillId="0" borderId="1" xfId="0" applyFont="1" applyBorder="1" applyAlignment="1">
      <alignment horizontal="center" vertical="top"/>
    </xf>
    <xf numFmtId="0" fontId="34" fillId="0" borderId="1" xfId="0" applyFont="1" applyBorder="1" applyAlignment="1">
      <alignment horizontal="left" vertical="top" wrapText="1" indent="1"/>
    </xf>
    <xf numFmtId="0" fontId="24" fillId="0" borderId="0" xfId="0" applyFont="1" applyAlignment="1">
      <alignment horizontal="center"/>
    </xf>
    <xf numFmtId="0" fontId="24" fillId="0" borderId="0" xfId="0" applyFont="1" applyAlignment="1">
      <alignment vertical="top" wrapText="1"/>
    </xf>
    <xf numFmtId="0" fontId="26" fillId="3" borderId="1" xfId="0" applyFont="1" applyFill="1" applyBorder="1" applyAlignment="1">
      <alignment horizontal="center" vertical="center" wrapText="1"/>
    </xf>
    <xf numFmtId="0" fontId="24" fillId="3" borderId="1" xfId="0" applyFont="1" applyFill="1" applyBorder="1" applyAlignment="1">
      <alignment horizontal="center" vertical="center" wrapText="1"/>
    </xf>
    <xf numFmtId="0" fontId="27" fillId="3" borderId="1" xfId="0" applyFont="1" applyFill="1" applyBorder="1" applyAlignment="1">
      <alignment horizontal="center" vertical="center" wrapText="1"/>
    </xf>
    <xf numFmtId="0" fontId="23" fillId="3" borderId="1" xfId="0" applyFont="1" applyFill="1" applyBorder="1" applyAlignment="1">
      <alignment horizontal="center" vertical="center" wrapText="1"/>
    </xf>
    <xf numFmtId="0" fontId="28" fillId="3" borderId="1" xfId="0" applyFont="1" applyFill="1" applyBorder="1" applyAlignment="1">
      <alignment horizontal="center" vertical="center"/>
    </xf>
    <xf numFmtId="0" fontId="30" fillId="3" borderId="1" xfId="0" applyFont="1" applyFill="1" applyBorder="1" applyAlignment="1">
      <alignment horizontal="center" vertical="center" wrapText="1"/>
    </xf>
    <xf numFmtId="0" fontId="28" fillId="3" borderId="1" xfId="0" applyFont="1" applyFill="1" applyBorder="1" applyAlignment="1">
      <alignment horizontal="center" vertical="center" wrapText="1"/>
    </xf>
    <xf numFmtId="0" fontId="30" fillId="3" borderId="1" xfId="0" applyFont="1" applyFill="1" applyBorder="1" applyAlignment="1">
      <alignment horizontal="justify" vertical="center" wrapText="1"/>
    </xf>
    <xf numFmtId="0" fontId="24" fillId="3" borderId="1" xfId="0" applyFont="1" applyFill="1" applyBorder="1" applyAlignment="1">
      <alignment horizontal="center"/>
    </xf>
    <xf numFmtId="0" fontId="24" fillId="3" borderId="1" xfId="0" applyFont="1" applyFill="1" applyBorder="1" applyAlignment="1">
      <alignment horizontal="center" vertical="center"/>
    </xf>
    <xf numFmtId="0" fontId="22" fillId="3" borderId="1" xfId="0" applyFont="1" applyFill="1" applyBorder="1"/>
    <xf numFmtId="0" fontId="22" fillId="0" borderId="0" xfId="0" applyFont="1" applyAlignment="1">
      <alignment horizontal="left" vertical="top"/>
    </xf>
    <xf numFmtId="0" fontId="22" fillId="0" borderId="1" xfId="0" applyFont="1" applyBorder="1" applyAlignment="1">
      <alignment horizontal="left" vertical="top" wrapText="1"/>
    </xf>
    <xf numFmtId="0" fontId="23" fillId="0" borderId="1" xfId="0" applyFont="1" applyBorder="1" applyAlignment="1">
      <alignment horizontal="center" vertical="center" wrapText="1"/>
    </xf>
    <xf numFmtId="0" fontId="26" fillId="0" borderId="1" xfId="0" applyFont="1" applyBorder="1" applyAlignment="1">
      <alignment horizontal="center" vertical="center" wrapText="1"/>
    </xf>
    <xf numFmtId="0" fontId="22" fillId="0" borderId="0" xfId="0" applyFont="1" applyAlignment="1">
      <alignment vertical="top" wrapText="1"/>
    </xf>
    <xf numFmtId="0" fontId="26" fillId="2" borderId="1" xfId="0" applyFont="1" applyFill="1" applyBorder="1" applyAlignment="1">
      <alignment horizontal="center" vertical="center" wrapText="1"/>
    </xf>
    <xf numFmtId="0" fontId="26" fillId="2" borderId="1" xfId="0" applyFont="1" applyFill="1" applyBorder="1" applyAlignment="1">
      <alignment horizontal="left" vertical="center" wrapText="1"/>
    </xf>
    <xf numFmtId="0" fontId="28" fillId="0" borderId="1" xfId="0" applyFont="1" applyBorder="1" applyAlignment="1">
      <alignment horizontal="justify" vertical="center"/>
    </xf>
    <xf numFmtId="0" fontId="24" fillId="0" borderId="1" xfId="0" applyFont="1" applyBorder="1" applyAlignment="1">
      <alignment horizontal="justify" vertical="center" wrapText="1"/>
    </xf>
    <xf numFmtId="0" fontId="24" fillId="0" borderId="1" xfId="0" applyFont="1" applyBorder="1" applyAlignment="1">
      <alignment horizontal="center" vertical="center" wrapText="1"/>
    </xf>
    <xf numFmtId="0" fontId="28" fillId="0" borderId="1" xfId="0" applyFont="1" applyBorder="1" applyAlignment="1">
      <alignment horizontal="justify" vertical="center" wrapText="1"/>
    </xf>
    <xf numFmtId="0" fontId="35" fillId="0" borderId="10" xfId="0" applyFont="1" applyBorder="1" applyAlignment="1">
      <alignment horizontal="justify" vertical="center" wrapText="1"/>
    </xf>
    <xf numFmtId="0" fontId="35" fillId="0" borderId="11" xfId="0" applyFont="1" applyBorder="1" applyAlignment="1">
      <alignment horizontal="justify" vertical="center" wrapText="1"/>
    </xf>
    <xf numFmtId="0" fontId="24" fillId="0" borderId="1" xfId="0" applyFont="1" applyBorder="1" applyAlignment="1">
      <alignment vertical="center" wrapText="1"/>
    </xf>
    <xf numFmtId="0" fontId="24" fillId="0" borderId="1" xfId="0" applyFont="1" applyBorder="1" applyAlignment="1">
      <alignment vertical="top"/>
    </xf>
    <xf numFmtId="0" fontId="24" fillId="0" borderId="1" xfId="0" applyFont="1" applyBorder="1"/>
    <xf numFmtId="0" fontId="28" fillId="0" borderId="1" xfId="0" applyFont="1" applyBorder="1" applyAlignment="1">
      <alignment horizontal="left" vertical="center" wrapText="1"/>
    </xf>
    <xf numFmtId="0" fontId="24" fillId="0" borderId="0" xfId="0" applyFont="1"/>
    <xf numFmtId="0" fontId="24" fillId="0" borderId="0" xfId="0" applyFont="1" applyAlignment="1">
      <alignment horizontal="left" vertical="center"/>
    </xf>
    <xf numFmtId="0" fontId="23" fillId="0" borderId="0" xfId="0" applyFont="1" applyAlignment="1">
      <alignment horizontal="center"/>
    </xf>
    <xf numFmtId="0" fontId="24" fillId="0" borderId="0" xfId="0" applyFont="1" applyAlignment="1">
      <alignment vertical="center" wrapText="1"/>
    </xf>
    <xf numFmtId="0" fontId="24" fillId="0" borderId="0" xfId="0" applyFont="1" applyAlignment="1">
      <alignment vertical="center"/>
    </xf>
    <xf numFmtId="0" fontId="24" fillId="0" borderId="0" xfId="0" applyFont="1" applyAlignment="1">
      <alignment wrapText="1"/>
    </xf>
    <xf numFmtId="0" fontId="28" fillId="3" borderId="1" xfId="0" applyFont="1" applyFill="1" applyBorder="1" applyAlignment="1">
      <alignment horizontal="center" vertical="top" wrapText="1"/>
    </xf>
    <xf numFmtId="0" fontId="24" fillId="3" borderId="0" xfId="0" applyFont="1" applyFill="1" applyAlignment="1">
      <alignment wrapText="1"/>
    </xf>
    <xf numFmtId="0" fontId="24" fillId="3" borderId="1" xfId="0" applyFont="1" applyFill="1" applyBorder="1" applyAlignment="1">
      <alignment horizontal="justify" vertical="center" wrapText="1"/>
    </xf>
    <xf numFmtId="0" fontId="24" fillId="3" borderId="0" xfId="0" applyFont="1" applyFill="1"/>
    <xf numFmtId="0" fontId="35" fillId="3" borderId="10" xfId="0" applyFont="1" applyFill="1" applyBorder="1" applyAlignment="1">
      <alignment horizontal="justify" vertical="center" wrapText="1"/>
    </xf>
    <xf numFmtId="0" fontId="24" fillId="3" borderId="0" xfId="0" applyFont="1" applyFill="1" applyAlignment="1">
      <alignment vertical="center" wrapText="1"/>
    </xf>
    <xf numFmtId="0" fontId="36" fillId="0" borderId="1" xfId="0" applyFont="1" applyBorder="1" applyAlignment="1">
      <alignment horizontal="center" vertical="center" wrapText="1"/>
    </xf>
    <xf numFmtId="0" fontId="34" fillId="0" borderId="1" xfId="0" applyFont="1" applyBorder="1"/>
    <xf numFmtId="0" fontId="34" fillId="0" borderId="1" xfId="0" applyFont="1" applyBorder="1" applyAlignment="1">
      <alignment horizontal="center" vertical="center" wrapText="1"/>
    </xf>
    <xf numFmtId="0" fontId="34" fillId="3" borderId="1" xfId="0" applyFont="1" applyFill="1" applyBorder="1" applyAlignment="1">
      <alignment horizontal="center" vertical="center" wrapText="1"/>
    </xf>
    <xf numFmtId="0" fontId="24" fillId="0" borderId="1" xfId="0" applyFont="1" applyBorder="1" applyAlignment="1">
      <alignment vertical="center"/>
    </xf>
    <xf numFmtId="0" fontId="34" fillId="0" borderId="1" xfId="0" applyFont="1" applyBorder="1" applyAlignment="1">
      <alignment horizontal="center" vertical="center"/>
    </xf>
    <xf numFmtId="0" fontId="28" fillId="6" borderId="1" xfId="0" applyFont="1" applyFill="1" applyBorder="1" applyAlignment="1">
      <alignment horizontal="left" vertical="top" wrapText="1" indent="1"/>
    </xf>
    <xf numFmtId="0" fontId="23" fillId="6" borderId="1" xfId="0" applyFont="1" applyFill="1" applyBorder="1" applyAlignment="1">
      <alignment horizontal="center" vertical="center" wrapText="1"/>
    </xf>
    <xf numFmtId="0" fontId="28" fillId="6" borderId="1" xfId="0" applyFont="1" applyFill="1" applyBorder="1" applyAlignment="1">
      <alignment horizontal="center" vertical="center"/>
    </xf>
    <xf numFmtId="0" fontId="30" fillId="6" borderId="1" xfId="0" applyFont="1" applyFill="1" applyBorder="1" applyAlignment="1">
      <alignment horizontal="justify" vertical="center" wrapText="1"/>
    </xf>
    <xf numFmtId="0" fontId="27" fillId="6" borderId="1" xfId="0" applyFont="1" applyFill="1" applyBorder="1" applyAlignment="1">
      <alignment horizontal="center" vertical="center" wrapText="1"/>
    </xf>
    <xf numFmtId="0" fontId="9" fillId="7" borderId="1" xfId="0" applyFont="1" applyFill="1" applyBorder="1" applyAlignment="1">
      <alignment horizontal="center" vertical="center" wrapText="1"/>
    </xf>
    <xf numFmtId="0" fontId="9" fillId="7" borderId="1" xfId="0" applyFont="1" applyFill="1" applyBorder="1" applyAlignment="1">
      <alignment horizontal="left" vertical="center" wrapText="1"/>
    </xf>
    <xf numFmtId="0" fontId="9" fillId="7" borderId="1" xfId="0" applyFont="1" applyFill="1" applyBorder="1" applyAlignment="1">
      <alignment horizontal="justify" vertical="center" wrapText="1"/>
    </xf>
    <xf numFmtId="0" fontId="28" fillId="7" borderId="1" xfId="0" applyFont="1" applyFill="1" applyBorder="1" applyAlignment="1">
      <alignment horizontal="center" vertical="top" wrapText="1"/>
    </xf>
    <xf numFmtId="0" fontId="28" fillId="7" borderId="1" xfId="0" applyFont="1" applyFill="1" applyBorder="1" applyAlignment="1">
      <alignment horizontal="left" vertical="top" wrapText="1" indent="1"/>
    </xf>
    <xf numFmtId="0" fontId="24" fillId="7" borderId="1" xfId="0" applyFont="1" applyFill="1" applyBorder="1" applyAlignment="1">
      <alignment horizontal="center" vertical="center" wrapText="1"/>
    </xf>
    <xf numFmtId="0" fontId="28" fillId="7" borderId="1" xfId="0" applyFont="1" applyFill="1" applyBorder="1" applyAlignment="1">
      <alignment horizontal="center" vertical="center" wrapText="1"/>
    </xf>
    <xf numFmtId="0" fontId="30" fillId="7" borderId="1" xfId="0" applyFont="1" applyFill="1" applyBorder="1" applyAlignment="1">
      <alignment horizontal="justify" vertical="center" wrapText="1"/>
    </xf>
    <xf numFmtId="0" fontId="27" fillId="7" borderId="1" xfId="0" applyFont="1" applyFill="1" applyBorder="1" applyAlignment="1">
      <alignment horizontal="center" vertical="center" wrapText="1"/>
    </xf>
    <xf numFmtId="0" fontId="21" fillId="0" borderId="0" xfId="0" applyFont="1" applyAlignment="1">
      <alignment horizontal="left" vertical="top"/>
    </xf>
    <xf numFmtId="0" fontId="21" fillId="0" borderId="0" xfId="0" applyFont="1" applyAlignment="1">
      <alignment horizontal="center" vertical="top"/>
    </xf>
    <xf numFmtId="0" fontId="22" fillId="0" borderId="0" xfId="0" applyFont="1" applyAlignment="1">
      <alignment vertical="top"/>
    </xf>
    <xf numFmtId="0" fontId="40" fillId="0" borderId="0" xfId="0" applyFont="1" applyAlignment="1">
      <alignment horizontal="center"/>
    </xf>
    <xf numFmtId="0" fontId="27" fillId="2" borderId="1" xfId="0" applyFont="1" applyFill="1" applyBorder="1" applyAlignment="1">
      <alignment horizontal="left" vertical="top" wrapText="1"/>
    </xf>
    <xf numFmtId="0" fontId="27" fillId="2" borderId="1" xfId="0" applyFont="1" applyFill="1" applyBorder="1" applyAlignment="1">
      <alignment horizontal="center" vertical="top" wrapText="1"/>
    </xf>
    <xf numFmtId="0" fontId="28" fillId="0" borderId="1" xfId="0" applyFont="1" applyBorder="1" applyAlignment="1">
      <alignment horizontal="left" vertical="top" wrapText="1"/>
    </xf>
    <xf numFmtId="0" fontId="30" fillId="0" borderId="0" xfId="0" applyFont="1" applyAlignment="1">
      <alignment vertical="top" wrapText="1"/>
    </xf>
    <xf numFmtId="0" fontId="30" fillId="0" borderId="0" xfId="0" applyFont="1" applyAlignment="1">
      <alignment horizontal="left" vertical="top" wrapText="1"/>
    </xf>
    <xf numFmtId="0" fontId="30" fillId="0" borderId="0" xfId="0" applyFont="1" applyAlignment="1">
      <alignment horizontal="justify" vertical="top" wrapText="1"/>
    </xf>
    <xf numFmtId="0" fontId="24" fillId="3" borderId="1" xfId="0" applyFont="1" applyFill="1" applyBorder="1" applyAlignment="1">
      <alignment horizontal="left" vertical="top" wrapText="1"/>
    </xf>
    <xf numFmtId="0" fontId="19" fillId="0" borderId="1" xfId="0" applyFont="1" applyBorder="1" applyAlignment="1">
      <alignment horizontal="justify" vertical="center" wrapText="1"/>
    </xf>
    <xf numFmtId="0" fontId="9" fillId="7" borderId="1" xfId="0" applyFont="1" applyFill="1" applyBorder="1" applyAlignment="1">
      <alignment horizontal="center" vertical="top" wrapText="1"/>
    </xf>
    <xf numFmtId="0" fontId="9" fillId="7" borderId="1" xfId="0" applyFont="1" applyFill="1" applyBorder="1" applyAlignment="1">
      <alignment horizontal="justify" vertical="top" wrapText="1"/>
    </xf>
    <xf numFmtId="0" fontId="9" fillId="9" borderId="1" xfId="0" applyFont="1" applyFill="1" applyBorder="1" applyAlignment="1">
      <alignment horizontal="justify" vertical="center" wrapText="1"/>
    </xf>
    <xf numFmtId="0" fontId="24" fillId="0" borderId="3" xfId="0" applyFont="1" applyBorder="1" applyAlignment="1">
      <alignment horizontal="center" vertical="top" wrapText="1"/>
    </xf>
    <xf numFmtId="0" fontId="23" fillId="0" borderId="3" xfId="0" applyFont="1" applyBorder="1" applyAlignment="1">
      <alignment horizontal="center" vertical="center" wrapText="1"/>
    </xf>
    <xf numFmtId="0" fontId="22" fillId="0" borderId="0" xfId="0" applyFont="1" applyAlignment="1">
      <alignment horizontal="left" vertical="top" wrapText="1"/>
    </xf>
    <xf numFmtId="0" fontId="24" fillId="3" borderId="1" xfId="0" applyFont="1" applyFill="1" applyBorder="1" applyAlignment="1">
      <alignment horizontal="left" vertical="center" wrapText="1"/>
    </xf>
    <xf numFmtId="0" fontId="24" fillId="6" borderId="1" xfId="0" applyFont="1" applyFill="1" applyBorder="1" applyAlignment="1">
      <alignment horizontal="center" vertical="center" wrapText="1"/>
    </xf>
    <xf numFmtId="0" fontId="28" fillId="6" borderId="1" xfId="0" applyFont="1" applyFill="1" applyBorder="1" applyAlignment="1">
      <alignment horizontal="left" vertical="center" wrapText="1"/>
    </xf>
    <xf numFmtId="0" fontId="34" fillId="6" borderId="1" xfId="0" applyFont="1" applyFill="1" applyBorder="1" applyAlignment="1">
      <alignment horizontal="center" vertical="center" wrapText="1"/>
    </xf>
    <xf numFmtId="0" fontId="24" fillId="6" borderId="1" xfId="0" applyFont="1" applyFill="1" applyBorder="1" applyAlignment="1">
      <alignment horizontal="justify" vertical="center" wrapText="1"/>
    </xf>
    <xf numFmtId="0" fontId="23" fillId="0" borderId="0" xfId="0" applyFont="1" applyAlignment="1">
      <alignment horizontal="center" vertical="center" wrapText="1"/>
    </xf>
    <xf numFmtId="0" fontId="24" fillId="0" borderId="0" xfId="0" applyFont="1" applyAlignment="1">
      <alignment horizontal="center" vertical="center" wrapText="1"/>
    </xf>
    <xf numFmtId="0" fontId="41" fillId="0" borderId="0" xfId="0" applyFont="1" applyAlignment="1">
      <alignment horizontal="left" vertical="center" wrapText="1"/>
    </xf>
    <xf numFmtId="0" fontId="34" fillId="0" borderId="0" xfId="0" applyFont="1" applyAlignment="1">
      <alignment horizontal="center" vertical="center" wrapText="1"/>
    </xf>
    <xf numFmtId="0" fontId="28" fillId="0" borderId="0" xfId="0" applyFont="1" applyAlignment="1">
      <alignment horizontal="justify" vertical="center" wrapText="1"/>
    </xf>
    <xf numFmtId="0" fontId="36" fillId="0" borderId="0" xfId="0" applyFont="1" applyAlignment="1">
      <alignment horizontal="center" vertical="center"/>
    </xf>
    <xf numFmtId="0" fontId="34" fillId="0" borderId="0" xfId="0" applyFont="1" applyAlignment="1">
      <alignment horizontal="center" vertical="center"/>
    </xf>
    <xf numFmtId="0" fontId="37" fillId="0" borderId="1" xfId="0" applyFont="1" applyBorder="1" applyAlignment="1">
      <alignment horizontal="center" vertical="center" wrapText="1"/>
    </xf>
    <xf numFmtId="0" fontId="37" fillId="2" borderId="1" xfId="0" applyFont="1" applyFill="1" applyBorder="1" applyAlignment="1">
      <alignment horizontal="center" vertical="center" wrapText="1"/>
    </xf>
    <xf numFmtId="0" fontId="24" fillId="0" borderId="3" xfId="0" applyFont="1" applyBorder="1" applyAlignment="1">
      <alignment horizontal="center" vertical="center" wrapText="1"/>
    </xf>
    <xf numFmtId="0" fontId="35" fillId="0" borderId="0" xfId="0" applyFont="1" applyAlignment="1">
      <alignment horizontal="justify" vertical="center" wrapText="1"/>
    </xf>
    <xf numFmtId="0" fontId="24" fillId="0" borderId="1" xfId="0" applyFont="1" applyBorder="1" applyAlignment="1">
      <alignment horizontal="center" vertical="center"/>
    </xf>
    <xf numFmtId="0" fontId="9" fillId="10" borderId="1" xfId="0" applyFont="1" applyFill="1" applyBorder="1" applyAlignment="1">
      <alignment horizontal="center" vertical="top" wrapText="1"/>
    </xf>
    <xf numFmtId="0" fontId="7" fillId="10" borderId="1" xfId="0" applyFont="1" applyFill="1" applyBorder="1" applyAlignment="1">
      <alignment horizontal="justify" vertical="center" wrapText="1"/>
    </xf>
    <xf numFmtId="0" fontId="9" fillId="10" borderId="1" xfId="0" applyFont="1" applyFill="1" applyBorder="1" applyAlignment="1">
      <alignment horizontal="center" vertical="center" wrapText="1"/>
    </xf>
    <xf numFmtId="0" fontId="7" fillId="10" borderId="1" xfId="0" applyFont="1" applyFill="1" applyBorder="1" applyAlignment="1">
      <alignment horizontal="left" vertical="center" wrapText="1"/>
    </xf>
    <xf numFmtId="0" fontId="5" fillId="10" borderId="1" xfId="0" applyFont="1" applyFill="1" applyBorder="1" applyAlignment="1">
      <alignment horizontal="justify" vertical="center" wrapText="1"/>
    </xf>
    <xf numFmtId="0" fontId="24" fillId="0" borderId="1" xfId="0" applyFont="1" applyBorder="1" applyAlignment="1">
      <alignment horizontal="justify" vertical="top" wrapText="1"/>
    </xf>
    <xf numFmtId="0" fontId="23" fillId="3" borderId="1" xfId="0" applyFont="1" applyFill="1" applyBorder="1" applyAlignment="1">
      <alignment horizontal="justify" vertical="center" wrapText="1"/>
    </xf>
    <xf numFmtId="0" fontId="28" fillId="0" borderId="2" xfId="0" applyFont="1" applyBorder="1" applyAlignment="1">
      <alignment vertical="top" wrapText="1"/>
    </xf>
    <xf numFmtId="0" fontId="28" fillId="0" borderId="4" xfId="0" applyFont="1" applyBorder="1" applyAlignment="1">
      <alignment vertical="top" wrapText="1"/>
    </xf>
    <xf numFmtId="0" fontId="22" fillId="0" borderId="2" xfId="0" applyFont="1" applyBorder="1" applyAlignment="1">
      <alignment horizontal="left" vertical="top" wrapText="1"/>
    </xf>
    <xf numFmtId="0" fontId="24" fillId="11" borderId="1" xfId="0" applyFont="1" applyFill="1" applyBorder="1" applyAlignment="1">
      <alignment horizontal="left" vertical="center" wrapText="1"/>
    </xf>
    <xf numFmtId="9" fontId="22" fillId="0" borderId="0" xfId="1" applyFont="1"/>
    <xf numFmtId="0" fontId="9" fillId="6" borderId="1" xfId="0" applyFont="1" applyFill="1" applyBorder="1" applyAlignment="1">
      <alignment horizontal="justify" vertical="top" wrapText="1"/>
    </xf>
    <xf numFmtId="0" fontId="9" fillId="6" borderId="1" xfId="0" applyFont="1" applyFill="1" applyBorder="1" applyAlignment="1">
      <alignment horizontal="center" vertical="top" wrapText="1"/>
    </xf>
    <xf numFmtId="0" fontId="9" fillId="6" borderId="1" xfId="0" applyFont="1" applyFill="1" applyBorder="1" applyAlignment="1">
      <alignment horizontal="justify" vertical="center" wrapText="1"/>
    </xf>
    <xf numFmtId="0" fontId="9" fillId="6" borderId="1" xfId="0" applyFont="1" applyFill="1" applyBorder="1" applyAlignment="1">
      <alignment horizontal="left" vertical="center" wrapText="1"/>
    </xf>
    <xf numFmtId="0" fontId="9" fillId="6" borderId="1" xfId="0" applyFont="1" applyFill="1" applyBorder="1" applyAlignment="1">
      <alignment horizontal="center" vertical="center" wrapText="1"/>
    </xf>
    <xf numFmtId="0" fontId="28" fillId="3" borderId="1" xfId="0" applyFont="1" applyFill="1" applyBorder="1" applyAlignment="1">
      <alignment horizontal="left" vertical="center" wrapText="1"/>
    </xf>
    <xf numFmtId="0" fontId="28" fillId="6" borderId="1" xfId="0" applyFont="1" applyFill="1" applyBorder="1" applyAlignment="1">
      <alignment horizontal="center" vertical="top" wrapText="1"/>
    </xf>
    <xf numFmtId="0" fontId="28" fillId="6" borderId="1" xfId="0" applyFont="1" applyFill="1" applyBorder="1" applyAlignment="1">
      <alignment vertical="top" wrapText="1"/>
    </xf>
    <xf numFmtId="0" fontId="29" fillId="6" borderId="1" xfId="0" applyFont="1" applyFill="1" applyBorder="1" applyAlignment="1">
      <alignment horizontal="justify" vertical="center" wrapText="1"/>
    </xf>
    <xf numFmtId="0" fontId="30" fillId="6" borderId="1" xfId="0" applyFont="1" applyFill="1" applyBorder="1" applyAlignment="1">
      <alignment horizontal="center" vertical="center" wrapText="1"/>
    </xf>
    <xf numFmtId="0" fontId="24" fillId="0" borderId="2" xfId="0" applyFont="1" applyBorder="1" applyAlignment="1">
      <alignment horizontal="center" vertical="top" wrapText="1"/>
    </xf>
    <xf numFmtId="0" fontId="24" fillId="0" borderId="1" xfId="0" applyFont="1" applyBorder="1" applyAlignment="1">
      <alignment horizontal="center" vertical="top" wrapText="1"/>
    </xf>
    <xf numFmtId="0" fontId="24" fillId="0" borderId="1" xfId="0" applyFont="1" applyBorder="1" applyAlignment="1">
      <alignment horizontal="left" vertical="top" wrapText="1"/>
    </xf>
    <xf numFmtId="0" fontId="5" fillId="0" borderId="2" xfId="0" applyFont="1" applyBorder="1" applyAlignment="1">
      <alignment horizontal="center" vertical="center" wrapText="1"/>
    </xf>
    <xf numFmtId="0" fontId="5" fillId="0" borderId="4" xfId="0" applyFont="1" applyBorder="1" applyAlignment="1">
      <alignment horizontal="center" vertical="center" wrapText="1"/>
    </xf>
    <xf numFmtId="0" fontId="5" fillId="0" borderId="3" xfId="0" applyFont="1" applyBorder="1" applyAlignment="1">
      <alignment horizontal="center" vertical="center" wrapText="1"/>
    </xf>
    <xf numFmtId="0" fontId="3" fillId="0" borderId="5" xfId="0" applyFont="1" applyBorder="1" applyAlignment="1">
      <alignment horizontal="center" vertical="center" wrapText="1"/>
    </xf>
    <xf numFmtId="0" fontId="3" fillId="0" borderId="6" xfId="0" applyFont="1" applyBorder="1" applyAlignment="1">
      <alignment horizontal="center" vertical="center" wrapText="1"/>
    </xf>
    <xf numFmtId="0" fontId="3" fillId="0" borderId="7" xfId="0" applyFont="1" applyBorder="1" applyAlignment="1">
      <alignment horizontal="center" vertical="center" wrapText="1"/>
    </xf>
    <xf numFmtId="0" fontId="1" fillId="0" borderId="0" xfId="0" applyFont="1" applyAlignment="1">
      <alignment horizontal="center"/>
    </xf>
    <xf numFmtId="0" fontId="3" fillId="0" borderId="1" xfId="0" applyFont="1" applyBorder="1" applyAlignment="1">
      <alignment horizontal="center" vertical="center" wrapText="1"/>
    </xf>
    <xf numFmtId="0" fontId="8" fillId="0" borderId="1" xfId="0" applyFont="1" applyBorder="1" applyAlignment="1">
      <alignment horizontal="left" vertical="center" wrapText="1"/>
    </xf>
    <xf numFmtId="0" fontId="8" fillId="0" borderId="1" xfId="0" applyFont="1" applyBorder="1" applyAlignment="1">
      <alignment horizontal="center" vertical="center" wrapText="1"/>
    </xf>
    <xf numFmtId="0" fontId="9" fillId="0" borderId="1" xfId="0" applyFont="1" applyBorder="1" applyAlignment="1">
      <alignment horizontal="center" vertical="top" wrapText="1"/>
    </xf>
    <xf numFmtId="0" fontId="4" fillId="0" borderId="1" xfId="0" applyFont="1" applyBorder="1" applyAlignment="1">
      <alignment horizontal="center" vertical="center" wrapText="1"/>
    </xf>
    <xf numFmtId="0" fontId="4" fillId="2" borderId="1" xfId="0" applyFont="1" applyFill="1" applyBorder="1" applyAlignment="1">
      <alignment horizontal="center" vertical="center" wrapText="1"/>
    </xf>
    <xf numFmtId="0" fontId="9" fillId="0" borderId="1" xfId="0" applyFont="1" applyBorder="1" applyAlignment="1">
      <alignment horizontal="left" vertical="center" wrapText="1"/>
    </xf>
    <xf numFmtId="0" fontId="15" fillId="0" borderId="8" xfId="0" applyFont="1" applyBorder="1" applyAlignment="1">
      <alignment horizontal="left" vertical="top" wrapText="1"/>
    </xf>
    <xf numFmtId="0" fontId="15" fillId="0" borderId="0" xfId="0" applyFont="1" applyAlignment="1">
      <alignment horizontal="left" vertical="top" wrapText="1"/>
    </xf>
    <xf numFmtId="0" fontId="0" fillId="0" borderId="8" xfId="0" applyBorder="1" applyAlignment="1">
      <alignment horizontal="left" vertical="top" wrapText="1"/>
    </xf>
    <xf numFmtId="0" fontId="0" fillId="0" borderId="0" xfId="0" applyAlignment="1">
      <alignment horizontal="left" vertical="top" wrapText="1"/>
    </xf>
    <xf numFmtId="0" fontId="2" fillId="0" borderId="0" xfId="0" applyFont="1" applyAlignment="1">
      <alignment horizontal="center"/>
    </xf>
    <xf numFmtId="0" fontId="21" fillId="0" borderId="0" xfId="0" applyFont="1" applyAlignment="1">
      <alignment horizontal="center"/>
    </xf>
    <xf numFmtId="0" fontId="23" fillId="0" borderId="1" xfId="0" applyFont="1" applyBorder="1" applyAlignment="1">
      <alignment horizontal="center" vertical="top" wrapText="1"/>
    </xf>
    <xf numFmtId="0" fontId="25" fillId="0" borderId="1" xfId="0" applyFont="1" applyBorder="1" applyAlignment="1">
      <alignment horizontal="center" vertical="center" wrapText="1"/>
    </xf>
    <xf numFmtId="0" fontId="27" fillId="0" borderId="1" xfId="0" applyFont="1" applyBorder="1" applyAlignment="1">
      <alignment horizontal="center" vertical="center" wrapText="1"/>
    </xf>
    <xf numFmtId="0" fontId="27" fillId="2" borderId="1" xfId="0" applyFont="1" applyFill="1" applyBorder="1" applyAlignment="1">
      <alignment horizontal="center" vertical="center" wrapText="1"/>
    </xf>
    <xf numFmtId="0" fontId="24" fillId="0" borderId="1" xfId="0" applyFont="1" applyBorder="1" applyAlignment="1">
      <alignment horizontal="center" vertical="top" wrapText="1"/>
    </xf>
    <xf numFmtId="0" fontId="28" fillId="0" borderId="2" xfId="0" applyFont="1" applyBorder="1" applyAlignment="1">
      <alignment horizontal="left" vertical="top" wrapText="1"/>
    </xf>
    <xf numFmtId="0" fontId="28" fillId="0" borderId="4" xfId="0" applyFont="1" applyBorder="1" applyAlignment="1">
      <alignment horizontal="left" vertical="top" wrapText="1"/>
    </xf>
    <xf numFmtId="0" fontId="28" fillId="0" borderId="3" xfId="0" applyFont="1" applyBorder="1" applyAlignment="1">
      <alignment horizontal="left" vertical="top" wrapText="1"/>
    </xf>
    <xf numFmtId="0" fontId="24" fillId="0" borderId="2" xfId="0" applyFont="1" applyBorder="1" applyAlignment="1">
      <alignment horizontal="center" vertical="top" wrapText="1"/>
    </xf>
    <xf numFmtId="0" fontId="24" fillId="0" borderId="4" xfId="0" applyFont="1" applyBorder="1" applyAlignment="1">
      <alignment horizontal="center" vertical="top" wrapText="1"/>
    </xf>
    <xf numFmtId="0" fontId="24" fillId="0" borderId="2" xfId="0" applyFont="1" applyBorder="1" applyAlignment="1">
      <alignment horizontal="center" vertical="center" wrapText="1"/>
    </xf>
    <xf numFmtId="0" fontId="24" fillId="0" borderId="4" xfId="0" applyFont="1" applyBorder="1" applyAlignment="1">
      <alignment horizontal="center" vertical="center" wrapText="1"/>
    </xf>
    <xf numFmtId="0" fontId="22" fillId="0" borderId="0" xfId="0" applyFont="1" applyAlignment="1">
      <alignment horizontal="center"/>
    </xf>
    <xf numFmtId="0" fontId="23" fillId="0" borderId="5" xfId="0" applyFont="1" applyBorder="1" applyAlignment="1">
      <alignment horizontal="center" vertical="top" wrapText="1"/>
    </xf>
    <xf numFmtId="0" fontId="23" fillId="0" borderId="6" xfId="0" applyFont="1" applyBorder="1" applyAlignment="1">
      <alignment horizontal="center" vertical="top" wrapText="1"/>
    </xf>
    <xf numFmtId="0" fontId="23" fillId="0" borderId="7" xfId="0" applyFont="1" applyBorder="1" applyAlignment="1">
      <alignment horizontal="center" vertical="top" wrapText="1"/>
    </xf>
    <xf numFmtId="0" fontId="22" fillId="0" borderId="0" xfId="0" applyFont="1" applyAlignment="1">
      <alignment horizontal="center" vertical="center"/>
    </xf>
    <xf numFmtId="0" fontId="24" fillId="0" borderId="1" xfId="0" applyFont="1" applyBorder="1" applyAlignment="1">
      <alignment horizontal="left" vertical="top" wrapText="1"/>
    </xf>
    <xf numFmtId="0" fontId="24" fillId="0" borderId="2" xfId="0" applyFont="1" applyBorder="1" applyAlignment="1">
      <alignment horizontal="left" vertical="top" wrapText="1"/>
    </xf>
    <xf numFmtId="0" fontId="24" fillId="0" borderId="4" xfId="0" applyFont="1" applyBorder="1" applyAlignment="1">
      <alignment horizontal="left" vertical="top" wrapText="1"/>
    </xf>
    <xf numFmtId="0" fontId="24" fillId="0" borderId="3" xfId="0" applyFont="1" applyBorder="1" applyAlignment="1">
      <alignment horizontal="left" vertical="top" wrapText="1"/>
    </xf>
    <xf numFmtId="0" fontId="24" fillId="0" borderId="3" xfId="0" applyFont="1" applyBorder="1" applyAlignment="1">
      <alignment horizontal="center" vertical="top" wrapText="1"/>
    </xf>
    <xf numFmtId="0" fontId="23" fillId="0" borderId="1" xfId="0" applyFont="1" applyBorder="1" applyAlignment="1">
      <alignment horizontal="center" vertical="center" wrapText="1"/>
    </xf>
    <xf numFmtId="0" fontId="25" fillId="0" borderId="1" xfId="0" applyFont="1" applyBorder="1" applyAlignment="1">
      <alignment horizontal="center" wrapText="1"/>
    </xf>
    <xf numFmtId="0" fontId="23" fillId="0" borderId="1" xfId="0" applyFont="1" applyBorder="1" applyAlignment="1">
      <alignment horizontal="center" wrapText="1"/>
    </xf>
    <xf numFmtId="0" fontId="24" fillId="0" borderId="0" xfId="0" applyFont="1" applyAlignment="1">
      <alignment horizontal="left" vertical="top" wrapText="1"/>
    </xf>
    <xf numFmtId="0" fontId="22" fillId="0" borderId="0" xfId="0" applyFont="1" applyAlignment="1">
      <alignment horizontal="left"/>
    </xf>
    <xf numFmtId="0" fontId="21" fillId="0" borderId="5" xfId="0" applyFont="1" applyBorder="1" applyAlignment="1">
      <alignment horizontal="center" vertical="center" wrapText="1"/>
    </xf>
    <xf numFmtId="0" fontId="21" fillId="0" borderId="6" xfId="0" applyFont="1" applyBorder="1" applyAlignment="1">
      <alignment horizontal="center" vertical="center" wrapText="1"/>
    </xf>
    <xf numFmtId="0" fontId="21" fillId="0" borderId="7" xfId="0" applyFont="1" applyBorder="1" applyAlignment="1">
      <alignment horizontal="center" vertical="center" wrapText="1"/>
    </xf>
    <xf numFmtId="0" fontId="22" fillId="0" borderId="2" xfId="0" applyFont="1" applyBorder="1" applyAlignment="1">
      <alignment horizontal="left" vertical="top" wrapText="1"/>
    </xf>
    <xf numFmtId="0" fontId="22" fillId="0" borderId="4" xfId="0" applyFont="1" applyBorder="1" applyAlignment="1">
      <alignment horizontal="left" vertical="top" wrapText="1"/>
    </xf>
    <xf numFmtId="0" fontId="22" fillId="0" borderId="3" xfId="0" applyFont="1" applyBorder="1" applyAlignment="1">
      <alignment horizontal="left" vertical="top" wrapText="1"/>
    </xf>
    <xf numFmtId="0" fontId="28" fillId="0" borderId="2" xfId="0" applyFont="1" applyBorder="1" applyAlignment="1">
      <alignment vertical="top" wrapText="1"/>
    </xf>
    <xf numFmtId="0" fontId="28" fillId="0" borderId="4" xfId="0" applyFont="1" applyBorder="1" applyAlignment="1">
      <alignment vertical="top" wrapText="1"/>
    </xf>
    <xf numFmtId="0" fontId="28" fillId="0" borderId="3" xfId="0" applyFont="1" applyBorder="1" applyAlignment="1">
      <alignment vertical="top" wrapText="1"/>
    </xf>
    <xf numFmtId="0" fontId="22" fillId="0" borderId="2" xfId="0" applyFont="1" applyBorder="1" applyAlignment="1">
      <alignment horizontal="center" vertical="top" wrapText="1"/>
    </xf>
    <xf numFmtId="0" fontId="22" fillId="0" borderId="4" xfId="0" applyFont="1" applyBorder="1" applyAlignment="1">
      <alignment horizontal="center" vertical="top" wrapText="1"/>
    </xf>
    <xf numFmtId="0" fontId="22" fillId="0" borderId="3" xfId="0" applyFont="1" applyBorder="1" applyAlignment="1">
      <alignment horizontal="center" vertical="top" wrapText="1"/>
    </xf>
    <xf numFmtId="0" fontId="23" fillId="0" borderId="0" xfId="0" applyFont="1" applyAlignment="1">
      <alignment horizontal="center"/>
    </xf>
    <xf numFmtId="0" fontId="24" fillId="0" borderId="1" xfId="0" applyFont="1" applyBorder="1" applyAlignment="1">
      <alignment horizontal="center" vertical="center" wrapText="1"/>
    </xf>
    <xf numFmtId="0" fontId="24" fillId="0" borderId="0" xfId="0" applyFont="1" applyAlignment="1">
      <alignment horizontal="center"/>
    </xf>
    <xf numFmtId="0" fontId="26" fillId="0" borderId="1" xfId="0" applyFont="1" applyBorder="1" applyAlignment="1">
      <alignment horizontal="center" vertical="center" wrapText="1"/>
    </xf>
    <xf numFmtId="0" fontId="26" fillId="2" borderId="1" xfId="0" applyFont="1" applyFill="1" applyBorder="1" applyAlignment="1">
      <alignment horizontal="center" vertical="center" wrapText="1"/>
    </xf>
    <xf numFmtId="0" fontId="24" fillId="0" borderId="3" xfId="0" applyFont="1" applyBorder="1" applyAlignment="1">
      <alignment horizontal="center" vertical="center" wrapText="1"/>
    </xf>
    <xf numFmtId="0" fontId="23" fillId="0" borderId="2" xfId="0" applyFont="1" applyBorder="1" applyAlignment="1">
      <alignment horizontal="center" vertical="center" wrapText="1"/>
    </xf>
    <xf numFmtId="0" fontId="23" fillId="0" borderId="4" xfId="0" applyFont="1" applyBorder="1" applyAlignment="1">
      <alignment horizontal="center" vertical="center" wrapText="1"/>
    </xf>
    <xf numFmtId="0" fontId="23" fillId="0" borderId="3" xfId="0" applyFont="1" applyBorder="1" applyAlignment="1">
      <alignment horizontal="center" vertical="center" wrapText="1"/>
    </xf>
    <xf numFmtId="0" fontId="23" fillId="0" borderId="5" xfId="0" applyFont="1" applyBorder="1" applyAlignment="1">
      <alignment horizontal="center" vertical="center" wrapText="1"/>
    </xf>
    <xf numFmtId="0" fontId="23" fillId="0" borderId="6" xfId="0" applyFont="1" applyBorder="1" applyAlignment="1">
      <alignment horizontal="center" vertical="center" wrapText="1"/>
    </xf>
    <xf numFmtId="0" fontId="23" fillId="0" borderId="7" xfId="0" applyFont="1" applyBorder="1" applyAlignment="1">
      <alignment horizontal="center" vertical="center" wrapText="1"/>
    </xf>
    <xf numFmtId="0" fontId="35" fillId="0" borderId="9" xfId="0" applyFont="1" applyBorder="1" applyAlignment="1">
      <alignment horizontal="justify" vertical="center" wrapText="1"/>
    </xf>
    <xf numFmtId="0" fontId="35" fillId="0" borderId="10" xfId="0" applyFont="1" applyBorder="1" applyAlignment="1">
      <alignment horizontal="justify" vertical="center" wrapText="1"/>
    </xf>
    <xf numFmtId="0" fontId="23" fillId="0" borderId="5" xfId="0" applyFont="1" applyBorder="1" applyAlignment="1">
      <alignment horizontal="center" vertical="top"/>
    </xf>
    <xf numFmtId="0" fontId="23" fillId="0" borderId="6" xfId="0" applyFont="1" applyBorder="1" applyAlignment="1">
      <alignment horizontal="center" vertical="top"/>
    </xf>
    <xf numFmtId="0" fontId="23" fillId="0" borderId="7" xfId="0" applyFont="1" applyBorder="1" applyAlignment="1">
      <alignment horizontal="center" vertical="top"/>
    </xf>
    <xf numFmtId="0" fontId="8" fillId="0" borderId="0" xfId="0" applyFont="1" applyAlignment="1">
      <alignment horizontal="center"/>
    </xf>
    <xf numFmtId="0" fontId="8" fillId="0" borderId="1" xfId="0" applyFont="1" applyBorder="1" applyAlignment="1">
      <alignment horizontal="center" vertical="top" wrapText="1"/>
    </xf>
    <xf numFmtId="0" fontId="8" fillId="0" borderId="5" xfId="0" applyFont="1" applyBorder="1" applyAlignment="1">
      <alignment horizontal="center" vertical="center" wrapText="1"/>
    </xf>
    <xf numFmtId="0" fontId="8" fillId="0" borderId="6" xfId="0" applyFont="1" applyBorder="1" applyAlignment="1">
      <alignment horizontal="center" vertical="center" wrapText="1"/>
    </xf>
    <xf numFmtId="0" fontId="8" fillId="0" borderId="7" xfId="0" applyFont="1" applyBorder="1" applyAlignment="1">
      <alignment horizontal="center" vertical="center" wrapText="1"/>
    </xf>
    <xf numFmtId="0" fontId="9" fillId="0" borderId="0" xfId="0" applyFont="1" applyAlignment="1">
      <alignment horizontal="center"/>
    </xf>
    <xf numFmtId="0" fontId="18" fillId="0" borderId="1" xfId="0" applyFont="1" applyBorder="1" applyAlignment="1">
      <alignment horizontal="center" vertical="center" wrapText="1"/>
    </xf>
    <xf numFmtId="0" fontId="11" fillId="2" borderId="1" xfId="0" applyFont="1" applyFill="1" applyBorder="1" applyAlignment="1">
      <alignment horizontal="center" vertical="center" wrapText="1"/>
    </xf>
    <xf numFmtId="0" fontId="17" fillId="0" borderId="9" xfId="0" applyFont="1" applyBorder="1" applyAlignment="1">
      <alignment horizontal="justify" vertical="center" wrapText="1"/>
    </xf>
    <xf numFmtId="0" fontId="17" fillId="0" borderId="10" xfId="0" applyFont="1" applyBorder="1" applyAlignment="1">
      <alignment horizontal="justify" vertical="center" wrapText="1"/>
    </xf>
    <xf numFmtId="0" fontId="8" fillId="0" borderId="5" xfId="0" applyFont="1" applyBorder="1" applyAlignment="1">
      <alignment horizontal="center" vertical="top" wrapText="1"/>
    </xf>
    <xf numFmtId="0" fontId="8" fillId="0" borderId="6" xfId="0" applyFont="1" applyBorder="1" applyAlignment="1">
      <alignment horizontal="center" vertical="top" wrapText="1"/>
    </xf>
    <xf numFmtId="0" fontId="8" fillId="0" borderId="7" xfId="0" applyFont="1" applyBorder="1" applyAlignment="1">
      <alignment horizontal="center" vertical="top" wrapText="1"/>
    </xf>
    <xf numFmtId="0" fontId="9" fillId="0" borderId="0" xfId="0" applyFont="1" applyAlignment="1">
      <alignment horizontal="left"/>
    </xf>
    <xf numFmtId="0" fontId="9" fillId="0" borderId="2" xfId="0" applyFont="1" applyBorder="1" applyAlignment="1">
      <alignment horizontal="center" vertical="top" wrapText="1"/>
    </xf>
    <xf numFmtId="0" fontId="9" fillId="0" borderId="4" xfId="0" applyFont="1" applyBorder="1" applyAlignment="1">
      <alignment horizontal="center" vertical="top" wrapText="1"/>
    </xf>
    <xf numFmtId="0" fontId="9" fillId="0" borderId="3" xfId="0" applyFont="1" applyBorder="1" applyAlignment="1">
      <alignment horizontal="center" vertical="top" wrapText="1"/>
    </xf>
    <xf numFmtId="0" fontId="8" fillId="0" borderId="0" xfId="0" applyFont="1"/>
    <xf numFmtId="0" fontId="19" fillId="0" borderId="1" xfId="0" applyFont="1" applyBorder="1" applyAlignment="1">
      <alignment vertical="top"/>
    </xf>
    <xf numFmtId="0" fontId="19" fillId="0" borderId="1" xfId="0" applyFont="1" applyBorder="1"/>
    <xf numFmtId="0" fontId="11" fillId="0" borderId="1" xfId="0" applyFont="1" applyBorder="1" applyAlignment="1">
      <alignment horizontal="center" vertical="center" wrapText="1"/>
    </xf>
    <xf numFmtId="0" fontId="11" fillId="4" borderId="1" xfId="0" applyFont="1" applyFill="1" applyBorder="1" applyAlignment="1">
      <alignment horizontal="center" vertical="center" wrapText="1"/>
    </xf>
    <xf numFmtId="0" fontId="17" fillId="0" borderId="13" xfId="0" applyFont="1" applyBorder="1" applyAlignment="1">
      <alignment horizontal="left" vertical="center" wrapText="1"/>
    </xf>
    <xf numFmtId="0" fontId="20" fillId="0" borderId="14" xfId="0" applyFont="1" applyBorder="1"/>
    <xf numFmtId="0" fontId="9" fillId="0" borderId="0" xfId="0" applyFont="1"/>
    <xf numFmtId="0" fontId="9" fillId="0" borderId="1" xfId="0" applyFont="1" applyBorder="1" applyAlignment="1">
      <alignment horizontal="center" vertical="top"/>
    </xf>
    <xf numFmtId="0" fontId="8" fillId="0" borderId="5" xfId="0" applyFont="1" applyBorder="1" applyAlignment="1">
      <alignment horizontal="center" vertical="top"/>
    </xf>
    <xf numFmtId="0" fontId="8" fillId="0" borderId="6" xfId="0" applyFont="1" applyBorder="1" applyAlignment="1">
      <alignment horizontal="center" vertical="top"/>
    </xf>
    <xf numFmtId="0" fontId="8" fillId="0" borderId="7" xfId="0" applyFont="1" applyBorder="1" applyAlignment="1">
      <alignment horizontal="center" vertical="top"/>
    </xf>
    <xf numFmtId="0" fontId="22" fillId="3" borderId="0" xfId="0" applyFont="1" applyFill="1"/>
    <xf numFmtId="0" fontId="21" fillId="0" borderId="0" xfId="0" applyFont="1" applyAlignment="1">
      <alignment horizontal="center" vertical="top"/>
    </xf>
    <xf numFmtId="0" fontId="25" fillId="0" borderId="1" xfId="0" applyFont="1" applyBorder="1" applyAlignment="1">
      <alignment horizontal="center" vertical="top" wrapText="1"/>
    </xf>
    <xf numFmtId="0" fontId="25" fillId="0" borderId="1" xfId="0" applyFont="1" applyBorder="1" applyAlignment="1">
      <alignment horizontal="center" vertical="top" wrapText="1"/>
    </xf>
    <xf numFmtId="0" fontId="39" fillId="0" borderId="1" xfId="0" applyFont="1" applyBorder="1" applyAlignment="1">
      <alignment horizontal="center" vertical="top" wrapText="1"/>
    </xf>
    <xf numFmtId="0" fontId="39" fillId="0" borderId="1" xfId="0" applyFont="1" applyBorder="1" applyAlignment="1">
      <alignment horizontal="center" vertical="top" wrapText="1"/>
    </xf>
    <xf numFmtId="0" fontId="27" fillId="2" borderId="1" xfId="0" applyFont="1" applyFill="1" applyBorder="1" applyAlignment="1">
      <alignment horizontal="center" vertical="top" wrapText="1"/>
    </xf>
    <xf numFmtId="0" fontId="30" fillId="0" borderId="1" xfId="0" applyFont="1" applyBorder="1" applyAlignment="1">
      <alignment horizontal="center" vertical="top" wrapText="1"/>
    </xf>
    <xf numFmtId="0" fontId="31" fillId="0" borderId="1" xfId="0" applyFont="1" applyBorder="1" applyAlignment="1">
      <alignment horizontal="justify" vertical="top" wrapText="1"/>
    </xf>
    <xf numFmtId="0" fontId="30" fillId="0" borderId="1" xfId="0" applyFont="1" applyBorder="1" applyAlignment="1">
      <alignment horizontal="justify" vertical="top" wrapText="1"/>
    </xf>
    <xf numFmtId="0" fontId="22" fillId="0" borderId="2" xfId="0" applyFont="1" applyBorder="1" applyAlignment="1">
      <alignment vertical="top" wrapText="1"/>
    </xf>
    <xf numFmtId="0" fontId="24" fillId="0" borderId="2" xfId="0" applyFont="1" applyBorder="1" applyAlignment="1">
      <alignment horizontal="justify" vertical="top" wrapText="1"/>
    </xf>
    <xf numFmtId="0" fontId="30" fillId="0" borderId="2" xfId="0" applyFont="1" applyBorder="1" applyAlignment="1">
      <alignment horizontal="justify" vertical="top" wrapText="1"/>
    </xf>
    <xf numFmtId="0" fontId="30" fillId="0" borderId="2" xfId="0" applyFont="1" applyBorder="1" applyAlignment="1">
      <alignment horizontal="center" vertical="top" wrapText="1"/>
    </xf>
    <xf numFmtId="0" fontId="22" fillId="0" borderId="1" xfId="0" applyFont="1" applyBorder="1" applyAlignment="1">
      <alignment vertical="top" wrapText="1"/>
    </xf>
    <xf numFmtId="0" fontId="22" fillId="0" borderId="2" xfId="0" applyFont="1" applyBorder="1" applyAlignment="1">
      <alignment horizontal="center" vertical="top"/>
    </xf>
    <xf numFmtId="0" fontId="22" fillId="0" borderId="2" xfId="0" applyFont="1" applyBorder="1" applyAlignment="1">
      <alignment vertical="top"/>
    </xf>
    <xf numFmtId="0" fontId="22" fillId="0" borderId="1" xfId="0" applyFont="1" applyBorder="1" applyAlignment="1">
      <alignment vertical="top"/>
    </xf>
    <xf numFmtId="0" fontId="24" fillId="3" borderId="1" xfId="0" applyFont="1" applyFill="1" applyBorder="1" applyAlignment="1">
      <alignment horizontal="justify" vertical="top" wrapText="1"/>
    </xf>
    <xf numFmtId="0" fontId="30" fillId="3" borderId="1" xfId="0" applyFont="1" applyFill="1" applyBorder="1" applyAlignment="1">
      <alignment horizontal="justify" vertical="top" wrapText="1"/>
    </xf>
    <xf numFmtId="0" fontId="30" fillId="3" borderId="1" xfId="0" applyFont="1" applyFill="1" applyBorder="1" applyAlignment="1">
      <alignment horizontal="center" vertical="top" wrapText="1"/>
    </xf>
    <xf numFmtId="0" fontId="22" fillId="0" borderId="1" xfId="0" applyFont="1" applyBorder="1" applyAlignment="1">
      <alignment horizontal="left" vertical="top"/>
    </xf>
    <xf numFmtId="0" fontId="24" fillId="8" borderId="1" xfId="0" applyFont="1" applyFill="1" applyBorder="1" applyAlignment="1">
      <alignment horizontal="justify" vertical="top" wrapText="1"/>
    </xf>
    <xf numFmtId="0" fontId="30" fillId="0" borderId="0" xfId="0" applyFont="1" applyAlignment="1">
      <alignment horizontal="center" vertical="top" wrapText="1"/>
    </xf>
    <xf numFmtId="0" fontId="22" fillId="0" borderId="0" xfId="0" applyFont="1" applyAlignment="1">
      <alignment horizontal="center" vertical="top"/>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AG57"/>
  <sheetViews>
    <sheetView topLeftCell="A24" zoomScale="90" zoomScaleNormal="90" workbookViewId="0">
      <selection activeCell="B47" sqref="B47"/>
    </sheetView>
  </sheetViews>
  <sheetFormatPr defaultRowHeight="15.6" x14ac:dyDescent="0.3"/>
  <cols>
    <col min="1" max="1" width="5" customWidth="1"/>
    <col min="2" max="2" width="15.44140625" style="43" customWidth="1"/>
    <col min="3" max="3" width="6.109375" style="53" customWidth="1"/>
    <col min="4" max="4" width="16.6640625" style="15" customWidth="1"/>
    <col min="5" max="5" width="6.33203125" style="25" customWidth="1"/>
    <col min="6" max="6" width="10.44140625" customWidth="1"/>
    <col min="7" max="9" width="8.6640625" hidden="1" customWidth="1"/>
    <col min="10" max="12" width="8.6640625" style="33" hidden="1" customWidth="1"/>
    <col min="13" max="13" width="1.6640625" hidden="1" customWidth="1"/>
    <col min="14" max="14" width="9.5546875" style="33" customWidth="1"/>
    <col min="15" max="15" width="8.5546875" customWidth="1"/>
    <col min="16" max="18" width="8.6640625" customWidth="1"/>
    <col min="19" max="19" width="7.33203125" customWidth="1"/>
  </cols>
  <sheetData>
    <row r="1" spans="1:21" ht="14.4" x14ac:dyDescent="0.3">
      <c r="A1" s="272" t="s">
        <v>0</v>
      </c>
      <c r="B1" s="272"/>
      <c r="C1" s="272"/>
      <c r="D1" s="272"/>
      <c r="E1" s="272"/>
      <c r="F1" s="272"/>
      <c r="G1" s="272"/>
      <c r="H1" s="272"/>
      <c r="I1" s="272"/>
      <c r="J1" s="272"/>
      <c r="K1" s="272"/>
      <c r="L1" s="272"/>
      <c r="M1" s="272"/>
      <c r="N1" s="272"/>
      <c r="O1" s="272"/>
      <c r="P1" s="272"/>
      <c r="Q1" s="272"/>
      <c r="R1" s="272"/>
      <c r="S1" s="272"/>
    </row>
    <row r="2" spans="1:21" x14ac:dyDescent="0.3">
      <c r="A2" s="4"/>
      <c r="B2" s="41"/>
      <c r="C2" s="52"/>
      <c r="D2" s="9"/>
      <c r="E2" s="24"/>
      <c r="F2" s="4"/>
      <c r="G2" s="4"/>
      <c r="H2" s="4"/>
      <c r="I2" s="4"/>
      <c r="J2" s="31"/>
      <c r="K2" s="31"/>
      <c r="L2" s="31"/>
      <c r="M2" s="4"/>
      <c r="N2" s="31"/>
      <c r="O2" s="4"/>
      <c r="P2" s="4"/>
      <c r="Q2" s="4"/>
      <c r="R2" s="4"/>
      <c r="S2" s="4"/>
    </row>
    <row r="3" spans="1:21" x14ac:dyDescent="0.3">
      <c r="A3" s="1" t="s">
        <v>1</v>
      </c>
      <c r="B3" s="42"/>
      <c r="C3" s="52" t="s">
        <v>318</v>
      </c>
      <c r="D3" s="10" t="s">
        <v>319</v>
      </c>
      <c r="E3" s="24"/>
      <c r="F3" s="1"/>
      <c r="G3" s="1"/>
      <c r="H3" s="1"/>
      <c r="I3" s="1"/>
      <c r="J3" s="32"/>
      <c r="K3" s="32"/>
      <c r="L3" s="32"/>
      <c r="M3" s="1"/>
      <c r="N3" s="32"/>
      <c r="O3" s="1"/>
      <c r="P3" s="1"/>
      <c r="Q3" s="1"/>
      <c r="R3" s="1"/>
    </row>
    <row r="4" spans="1:21" x14ac:dyDescent="0.3">
      <c r="A4" s="1" t="s">
        <v>2</v>
      </c>
      <c r="B4" s="42"/>
      <c r="C4" s="52" t="s">
        <v>318</v>
      </c>
      <c r="D4" s="10" t="s">
        <v>72</v>
      </c>
      <c r="E4" s="24"/>
      <c r="F4" s="1"/>
      <c r="G4" s="1"/>
      <c r="H4" s="1"/>
      <c r="I4" s="1"/>
      <c r="J4" s="32"/>
      <c r="K4" s="32"/>
      <c r="L4" s="32"/>
      <c r="M4" s="1"/>
      <c r="N4" s="32"/>
      <c r="O4" s="1"/>
      <c r="P4" s="1"/>
      <c r="Q4" s="1"/>
      <c r="R4" s="1"/>
    </row>
    <row r="5" spans="1:21" x14ac:dyDescent="0.3">
      <c r="D5" s="11"/>
    </row>
    <row r="6" spans="1:21" ht="15.75" customHeight="1" x14ac:dyDescent="0.3">
      <c r="A6" s="273" t="s">
        <v>3</v>
      </c>
      <c r="B6" s="274" t="s">
        <v>4</v>
      </c>
      <c r="C6" s="276"/>
      <c r="D6" s="275" t="s">
        <v>5</v>
      </c>
      <c r="E6" s="273" t="s">
        <v>6</v>
      </c>
      <c r="F6" s="273"/>
      <c r="G6" s="8"/>
      <c r="H6" s="8"/>
      <c r="I6" s="8"/>
      <c r="J6" s="34"/>
      <c r="K6" s="34"/>
      <c r="L6" s="34"/>
      <c r="M6" s="8"/>
      <c r="N6" s="34"/>
      <c r="O6" s="8"/>
      <c r="P6" s="8"/>
      <c r="Q6" s="8"/>
      <c r="R6" s="8"/>
      <c r="S6" s="273" t="s">
        <v>7</v>
      </c>
    </row>
    <row r="7" spans="1:21" ht="15.75" customHeight="1" x14ac:dyDescent="0.3">
      <c r="A7" s="273"/>
      <c r="B7" s="274"/>
      <c r="C7" s="276"/>
      <c r="D7" s="275"/>
      <c r="E7" s="273"/>
      <c r="F7" s="273"/>
      <c r="G7" s="8" t="s">
        <v>8</v>
      </c>
      <c r="H7" s="8" t="s">
        <v>9</v>
      </c>
      <c r="I7" s="8" t="s">
        <v>10</v>
      </c>
      <c r="J7" s="34" t="s">
        <v>11</v>
      </c>
      <c r="K7" s="34" t="s">
        <v>12</v>
      </c>
      <c r="L7" s="34" t="s">
        <v>13</v>
      </c>
      <c r="M7" s="8" t="s">
        <v>14</v>
      </c>
      <c r="N7" s="34" t="s">
        <v>15</v>
      </c>
      <c r="O7" s="8" t="s">
        <v>16</v>
      </c>
      <c r="P7" s="8" t="s">
        <v>17</v>
      </c>
      <c r="Q7" s="8" t="s">
        <v>18</v>
      </c>
      <c r="R7" s="8" t="s">
        <v>19</v>
      </c>
      <c r="S7" s="273"/>
    </row>
    <row r="8" spans="1:21" ht="16.2" x14ac:dyDescent="0.3">
      <c r="A8" s="5" t="s">
        <v>20</v>
      </c>
      <c r="B8" s="44" t="s">
        <v>21</v>
      </c>
      <c r="C8" s="54"/>
      <c r="D8" s="12" t="s">
        <v>22</v>
      </c>
      <c r="E8" s="277" t="s">
        <v>23</v>
      </c>
      <c r="F8" s="277"/>
      <c r="G8" s="5" t="s">
        <v>24</v>
      </c>
      <c r="H8" s="5" t="s">
        <v>25</v>
      </c>
      <c r="I8" s="5" t="s">
        <v>26</v>
      </c>
      <c r="J8" s="35" t="s">
        <v>27</v>
      </c>
      <c r="K8" s="35" t="s">
        <v>28</v>
      </c>
      <c r="L8" s="35" t="s">
        <v>29</v>
      </c>
      <c r="M8" s="5" t="s">
        <v>30</v>
      </c>
      <c r="N8" s="35" t="s">
        <v>31</v>
      </c>
      <c r="O8" s="5" t="s">
        <v>32</v>
      </c>
      <c r="P8" s="5" t="s">
        <v>33</v>
      </c>
      <c r="Q8" s="5" t="s">
        <v>34</v>
      </c>
      <c r="R8" s="5" t="s">
        <v>35</v>
      </c>
      <c r="S8" s="5" t="s">
        <v>36</v>
      </c>
    </row>
    <row r="9" spans="1:21" ht="16.2" x14ac:dyDescent="0.3">
      <c r="A9" s="6"/>
      <c r="B9" s="13"/>
      <c r="C9" s="55"/>
      <c r="D9" s="13"/>
      <c r="E9" s="278"/>
      <c r="F9" s="278"/>
      <c r="G9" s="6"/>
      <c r="H9" s="6"/>
      <c r="I9" s="6"/>
      <c r="J9" s="35"/>
      <c r="K9" s="35"/>
      <c r="L9" s="35"/>
      <c r="M9" s="6"/>
      <c r="N9" s="35"/>
      <c r="O9" s="5"/>
      <c r="P9" s="6"/>
      <c r="Q9" s="6"/>
      <c r="R9" s="6"/>
      <c r="S9" s="6"/>
      <c r="T9" t="s">
        <v>76</v>
      </c>
    </row>
    <row r="10" spans="1:21" ht="187.2" x14ac:dyDescent="0.3">
      <c r="A10" s="49">
        <v>1</v>
      </c>
      <c r="B10" s="50" t="s">
        <v>69</v>
      </c>
      <c r="C10" s="51" t="s">
        <v>20</v>
      </c>
      <c r="D10" s="20" t="s">
        <v>55</v>
      </c>
      <c r="E10" s="19">
        <v>16</v>
      </c>
      <c r="F10" s="14" t="s">
        <v>316</v>
      </c>
      <c r="G10" s="7"/>
      <c r="H10" s="19"/>
      <c r="I10" s="19"/>
      <c r="J10" s="36"/>
      <c r="K10" s="36"/>
      <c r="L10" s="36"/>
      <c r="M10" s="19"/>
      <c r="N10" s="36"/>
      <c r="O10" s="19">
        <v>4</v>
      </c>
      <c r="P10" s="19">
        <v>4</v>
      </c>
      <c r="Q10" s="19">
        <v>4</v>
      </c>
      <c r="R10" s="19">
        <v>4</v>
      </c>
      <c r="S10" s="19">
        <f t="shared" ref="S10:S15" si="0">SUM(H10:R10)</f>
        <v>16</v>
      </c>
      <c r="T10" s="280" t="s">
        <v>216</v>
      </c>
      <c r="U10" s="281"/>
    </row>
    <row r="11" spans="1:21" ht="187.2" x14ac:dyDescent="0.3">
      <c r="A11" s="266"/>
      <c r="B11" s="274"/>
      <c r="C11" s="51" t="s">
        <v>21</v>
      </c>
      <c r="D11" s="20" t="s">
        <v>56</v>
      </c>
      <c r="E11" s="19">
        <v>4</v>
      </c>
      <c r="F11" s="14" t="s">
        <v>38</v>
      </c>
      <c r="G11" s="2"/>
      <c r="H11" s="2"/>
      <c r="I11" s="2"/>
      <c r="J11" s="37"/>
      <c r="K11" s="37"/>
      <c r="L11" s="37"/>
      <c r="M11" s="2"/>
      <c r="N11" s="37"/>
      <c r="O11" s="2">
        <v>1</v>
      </c>
      <c r="P11" s="2">
        <v>1</v>
      </c>
      <c r="Q11" s="2">
        <v>1</v>
      </c>
      <c r="R11" s="2">
        <v>1</v>
      </c>
      <c r="S11" s="19">
        <f t="shared" si="0"/>
        <v>4</v>
      </c>
      <c r="T11" s="282"/>
      <c r="U11" s="283"/>
    </row>
    <row r="12" spans="1:21" ht="265.2" x14ac:dyDescent="0.3">
      <c r="A12" s="267"/>
      <c r="B12" s="274"/>
      <c r="C12" s="51" t="s">
        <v>22</v>
      </c>
      <c r="D12" s="20" t="s">
        <v>57</v>
      </c>
      <c r="E12" s="19">
        <v>8</v>
      </c>
      <c r="F12" s="14" t="s">
        <v>38</v>
      </c>
      <c r="G12" s="2"/>
      <c r="H12" s="2"/>
      <c r="I12" s="2"/>
      <c r="J12" s="37"/>
      <c r="K12" s="37"/>
      <c r="L12" s="37"/>
      <c r="M12" s="2"/>
      <c r="N12" s="37"/>
      <c r="O12" s="2">
        <v>2</v>
      </c>
      <c r="P12" s="2">
        <v>2</v>
      </c>
      <c r="Q12" s="2">
        <v>2</v>
      </c>
      <c r="R12" s="2">
        <v>2</v>
      </c>
      <c r="S12" s="19">
        <f t="shared" si="0"/>
        <v>8</v>
      </c>
    </row>
    <row r="13" spans="1:21" ht="280.8" x14ac:dyDescent="0.3">
      <c r="A13" s="267"/>
      <c r="B13" s="274"/>
      <c r="C13" s="51" t="s">
        <v>23</v>
      </c>
      <c r="D13" s="20" t="s">
        <v>58</v>
      </c>
      <c r="E13" s="19">
        <v>4</v>
      </c>
      <c r="F13" s="14" t="s">
        <v>38</v>
      </c>
      <c r="G13" s="3"/>
      <c r="H13" s="3"/>
      <c r="I13" s="3"/>
      <c r="J13" s="38"/>
      <c r="K13" s="38"/>
      <c r="L13" s="38"/>
      <c r="M13" s="3"/>
      <c r="N13" s="38"/>
      <c r="O13" s="3">
        <v>1</v>
      </c>
      <c r="P13" s="3">
        <v>1</v>
      </c>
      <c r="Q13" s="3">
        <v>1</v>
      </c>
      <c r="R13" s="3">
        <v>1</v>
      </c>
      <c r="S13" s="19">
        <f t="shared" si="0"/>
        <v>4</v>
      </c>
    </row>
    <row r="14" spans="1:21" ht="187.2" x14ac:dyDescent="0.3">
      <c r="A14" s="267"/>
      <c r="B14" s="274"/>
      <c r="C14" s="56" t="s">
        <v>24</v>
      </c>
      <c r="D14" s="20" t="s">
        <v>59</v>
      </c>
      <c r="E14" s="19">
        <v>24</v>
      </c>
      <c r="F14" s="14" t="s">
        <v>38</v>
      </c>
      <c r="G14" s="2"/>
      <c r="H14" s="2"/>
      <c r="I14" s="2"/>
      <c r="J14" s="37"/>
      <c r="K14" s="37"/>
      <c r="L14" s="37"/>
      <c r="M14" s="2"/>
      <c r="N14" s="37"/>
      <c r="O14" s="2">
        <v>6</v>
      </c>
      <c r="P14" s="2">
        <v>6</v>
      </c>
      <c r="Q14" s="2">
        <v>6</v>
      </c>
      <c r="R14" s="2">
        <v>6</v>
      </c>
      <c r="S14" s="19">
        <f t="shared" si="0"/>
        <v>24</v>
      </c>
    </row>
    <row r="15" spans="1:21" ht="218.4" x14ac:dyDescent="0.3">
      <c r="A15" s="267"/>
      <c r="B15" s="274"/>
      <c r="C15" s="51" t="s">
        <v>25</v>
      </c>
      <c r="D15" s="20" t="s">
        <v>301</v>
      </c>
      <c r="E15" s="19">
        <v>1</v>
      </c>
      <c r="F15" s="14" t="s">
        <v>38</v>
      </c>
      <c r="G15" s="2"/>
      <c r="H15" s="2"/>
      <c r="I15" s="2"/>
      <c r="J15" s="37"/>
      <c r="K15" s="37"/>
      <c r="L15" s="37"/>
      <c r="M15" s="2"/>
      <c r="N15" s="37"/>
      <c r="O15" s="2"/>
      <c r="P15" s="2"/>
      <c r="Q15" s="2"/>
      <c r="R15" s="2">
        <v>1</v>
      </c>
      <c r="S15" s="19">
        <f t="shared" si="0"/>
        <v>1</v>
      </c>
    </row>
    <row r="16" spans="1:21" x14ac:dyDescent="0.3">
      <c r="A16" s="267"/>
      <c r="B16" s="274"/>
      <c r="C16" s="51"/>
      <c r="D16" s="20"/>
      <c r="E16" s="19"/>
      <c r="F16" s="14"/>
      <c r="G16" s="2"/>
      <c r="H16" s="2"/>
      <c r="I16" s="2"/>
      <c r="J16" s="37"/>
      <c r="K16" s="37"/>
      <c r="L16" s="37"/>
      <c r="M16" s="2"/>
      <c r="N16" s="37"/>
      <c r="O16" s="2"/>
      <c r="P16" s="2"/>
      <c r="Q16" s="2"/>
      <c r="R16" s="2"/>
      <c r="S16" s="19"/>
    </row>
    <row r="17" spans="1:20" ht="187.2" x14ac:dyDescent="0.3">
      <c r="A17" s="267"/>
      <c r="B17" s="274"/>
      <c r="C17" s="51" t="s">
        <v>27</v>
      </c>
      <c r="D17" s="20" t="s">
        <v>60</v>
      </c>
      <c r="E17" s="19">
        <v>4</v>
      </c>
      <c r="F17" s="14" t="s">
        <v>38</v>
      </c>
      <c r="G17" s="2"/>
      <c r="H17" s="2"/>
      <c r="I17" s="2"/>
      <c r="J17" s="37"/>
      <c r="K17" s="37"/>
      <c r="L17" s="37"/>
      <c r="M17" s="2"/>
      <c r="N17" s="37"/>
      <c r="O17" s="2">
        <v>1</v>
      </c>
      <c r="P17" s="2">
        <v>1</v>
      </c>
      <c r="Q17" s="2">
        <v>1</v>
      </c>
      <c r="R17" s="2">
        <v>1</v>
      </c>
      <c r="S17" s="19">
        <f>SUM(H17:R17)</f>
        <v>4</v>
      </c>
      <c r="T17" t="s">
        <v>313</v>
      </c>
    </row>
    <row r="18" spans="1:20" ht="187.2" x14ac:dyDescent="0.3">
      <c r="A18" s="267"/>
      <c r="B18" s="274"/>
      <c r="C18" s="51" t="s">
        <v>28</v>
      </c>
      <c r="D18" s="20" t="s">
        <v>61</v>
      </c>
      <c r="E18" s="19">
        <v>32</v>
      </c>
      <c r="F18" s="14" t="s">
        <v>40</v>
      </c>
      <c r="G18" s="2"/>
      <c r="H18" s="2"/>
      <c r="I18" s="2"/>
      <c r="J18" s="37"/>
      <c r="K18" s="37"/>
      <c r="L18" s="37"/>
      <c r="M18" s="2"/>
      <c r="N18" s="37"/>
      <c r="O18" s="2">
        <v>8</v>
      </c>
      <c r="P18" s="2">
        <v>8</v>
      </c>
      <c r="Q18" s="2">
        <v>8</v>
      </c>
      <c r="R18" s="2">
        <v>8</v>
      </c>
      <c r="S18" s="19">
        <f t="shared" ref="S18:S37" si="1">SUM(H18:R18)</f>
        <v>32</v>
      </c>
    </row>
    <row r="19" spans="1:20" ht="282.75" customHeight="1" x14ac:dyDescent="0.3">
      <c r="A19" s="267"/>
      <c r="B19" s="274"/>
      <c r="C19" s="241" t="s">
        <v>29</v>
      </c>
      <c r="D19" s="242" t="s">
        <v>62</v>
      </c>
      <c r="E19" s="243">
        <v>8</v>
      </c>
      <c r="F19" s="244" t="s">
        <v>38</v>
      </c>
      <c r="G19" s="245"/>
      <c r="H19" s="245"/>
      <c r="I19" s="245"/>
      <c r="J19" s="245"/>
      <c r="K19" s="245"/>
      <c r="L19" s="245"/>
      <c r="M19" s="245"/>
      <c r="N19" s="245"/>
      <c r="O19" s="245">
        <v>4</v>
      </c>
      <c r="P19" s="245"/>
      <c r="Q19" s="245">
        <v>4</v>
      </c>
      <c r="R19" s="245"/>
      <c r="S19" s="243">
        <f t="shared" si="1"/>
        <v>8</v>
      </c>
    </row>
    <row r="20" spans="1:20" ht="280.8" x14ac:dyDescent="0.3">
      <c r="A20" s="268"/>
      <c r="B20" s="274"/>
      <c r="C20" s="51" t="s">
        <v>30</v>
      </c>
      <c r="D20" s="20" t="s">
        <v>63</v>
      </c>
      <c r="E20" s="19">
        <v>2</v>
      </c>
      <c r="F20" s="14" t="s">
        <v>38</v>
      </c>
      <c r="G20" s="2"/>
      <c r="H20" s="2"/>
      <c r="I20" s="2"/>
      <c r="J20" s="37"/>
      <c r="K20" s="37"/>
      <c r="L20" s="37"/>
      <c r="M20" s="2"/>
      <c r="N20" s="37"/>
      <c r="O20" s="2">
        <v>2</v>
      </c>
      <c r="P20" s="2"/>
      <c r="Q20" s="2"/>
      <c r="R20" s="2"/>
      <c r="S20" s="19">
        <f t="shared" si="1"/>
        <v>2</v>
      </c>
    </row>
    <row r="21" spans="1:20" ht="312" x14ac:dyDescent="0.3">
      <c r="A21" s="7">
        <v>2</v>
      </c>
      <c r="B21" s="46" t="s">
        <v>70</v>
      </c>
      <c r="C21" s="57" t="s">
        <v>20</v>
      </c>
      <c r="D21" s="20" t="s">
        <v>64</v>
      </c>
      <c r="E21" s="19">
        <v>16</v>
      </c>
      <c r="F21" s="14" t="s">
        <v>38</v>
      </c>
      <c r="G21" s="2"/>
      <c r="H21" s="2"/>
      <c r="I21" s="2"/>
      <c r="J21" s="37"/>
      <c r="K21" s="37"/>
      <c r="L21" s="37"/>
      <c r="M21" s="2"/>
      <c r="N21" s="37"/>
      <c r="O21" s="37">
        <v>4</v>
      </c>
      <c r="P21" s="37">
        <v>4</v>
      </c>
      <c r="Q21" s="37">
        <v>4</v>
      </c>
      <c r="R21" s="37">
        <v>4</v>
      </c>
      <c r="S21" s="19">
        <f t="shared" si="1"/>
        <v>16</v>
      </c>
    </row>
    <row r="22" spans="1:20" ht="218.4" x14ac:dyDescent="0.3">
      <c r="A22" s="21">
        <v>3</v>
      </c>
      <c r="B22" s="14" t="s">
        <v>71</v>
      </c>
      <c r="C22" s="57" t="s">
        <v>20</v>
      </c>
      <c r="D22" s="20" t="s">
        <v>314</v>
      </c>
      <c r="E22" s="19">
        <v>4</v>
      </c>
      <c r="F22" s="14" t="s">
        <v>38</v>
      </c>
      <c r="G22" s="2"/>
      <c r="H22" s="2"/>
      <c r="I22" s="2"/>
      <c r="J22" s="37"/>
      <c r="K22" s="37"/>
      <c r="L22" s="37"/>
      <c r="M22" s="2"/>
      <c r="N22" s="37"/>
      <c r="O22" s="2"/>
      <c r="P22" s="2">
        <v>2</v>
      </c>
      <c r="Q22" s="2"/>
      <c r="R22" s="2">
        <v>2</v>
      </c>
      <c r="S22" s="19">
        <f t="shared" si="1"/>
        <v>4</v>
      </c>
    </row>
    <row r="23" spans="1:20" ht="374.4" x14ac:dyDescent="0.3">
      <c r="A23" s="266"/>
      <c r="B23" s="45"/>
      <c r="C23" s="51" t="s">
        <v>21</v>
      </c>
      <c r="D23" s="20" t="s">
        <v>65</v>
      </c>
      <c r="E23" s="19">
        <v>3</v>
      </c>
      <c r="F23" s="14" t="s">
        <v>38</v>
      </c>
      <c r="G23" s="2"/>
      <c r="H23" s="2"/>
      <c r="I23" s="2"/>
      <c r="J23" s="37"/>
      <c r="K23" s="37"/>
      <c r="L23" s="37"/>
      <c r="M23" s="2"/>
      <c r="N23" s="37"/>
      <c r="O23" s="2">
        <v>1</v>
      </c>
      <c r="P23" s="2"/>
      <c r="Q23" s="2">
        <v>1</v>
      </c>
      <c r="R23" s="2">
        <v>1</v>
      </c>
      <c r="S23" s="19">
        <f t="shared" si="1"/>
        <v>3</v>
      </c>
    </row>
    <row r="24" spans="1:20" ht="256.5" customHeight="1" x14ac:dyDescent="0.3">
      <c r="A24" s="267"/>
      <c r="B24" s="45"/>
      <c r="C24" s="51" t="s">
        <v>22</v>
      </c>
      <c r="D24" s="20" t="s">
        <v>66</v>
      </c>
      <c r="E24" s="19">
        <v>4</v>
      </c>
      <c r="F24" s="14" t="s">
        <v>38</v>
      </c>
      <c r="G24" s="2"/>
      <c r="H24" s="2"/>
      <c r="I24" s="2"/>
      <c r="J24" s="37"/>
      <c r="K24" s="37"/>
      <c r="L24" s="37"/>
      <c r="M24" s="2"/>
      <c r="N24" s="37"/>
      <c r="O24" s="2"/>
      <c r="P24" s="2"/>
      <c r="Q24" s="2"/>
      <c r="R24" s="2">
        <v>4</v>
      </c>
      <c r="S24" s="2">
        <f t="shared" si="1"/>
        <v>4</v>
      </c>
    </row>
    <row r="25" spans="1:20" ht="276" customHeight="1" x14ac:dyDescent="0.3">
      <c r="A25" s="267"/>
      <c r="B25" s="279"/>
      <c r="C25" s="51" t="s">
        <v>23</v>
      </c>
      <c r="D25" s="20" t="s">
        <v>73</v>
      </c>
      <c r="E25" s="19">
        <v>4</v>
      </c>
      <c r="F25" s="14" t="s">
        <v>38</v>
      </c>
      <c r="G25" s="2"/>
      <c r="H25" s="2"/>
      <c r="I25" s="2"/>
      <c r="J25" s="37"/>
      <c r="K25" s="37"/>
      <c r="L25" s="37"/>
      <c r="M25" s="2"/>
      <c r="N25" s="37"/>
      <c r="O25" s="2">
        <v>1</v>
      </c>
      <c r="P25" s="2">
        <v>1</v>
      </c>
      <c r="Q25" s="2">
        <v>1</v>
      </c>
      <c r="R25" s="2">
        <v>1</v>
      </c>
      <c r="S25" s="2">
        <f t="shared" si="1"/>
        <v>4</v>
      </c>
    </row>
    <row r="26" spans="1:20" ht="409.6" x14ac:dyDescent="0.3">
      <c r="A26" s="268"/>
      <c r="B26" s="279"/>
      <c r="C26" s="51" t="s">
        <v>24</v>
      </c>
      <c r="D26" s="20" t="s">
        <v>67</v>
      </c>
      <c r="E26" s="19">
        <v>24</v>
      </c>
      <c r="F26" s="14" t="s">
        <v>38</v>
      </c>
      <c r="G26" s="2"/>
      <c r="H26" s="2"/>
      <c r="I26" s="2"/>
      <c r="J26" s="37"/>
      <c r="K26" s="37"/>
      <c r="L26" s="37"/>
      <c r="M26" s="2"/>
      <c r="N26" s="37"/>
      <c r="O26" s="2">
        <v>6</v>
      </c>
      <c r="P26" s="2">
        <v>6</v>
      </c>
      <c r="Q26" s="2">
        <v>6</v>
      </c>
      <c r="R26" s="2">
        <v>6</v>
      </c>
      <c r="S26" s="2">
        <f t="shared" si="1"/>
        <v>24</v>
      </c>
    </row>
    <row r="27" spans="1:20" ht="162.75" customHeight="1" x14ac:dyDescent="0.3">
      <c r="A27" s="21">
        <v>4</v>
      </c>
      <c r="B27" s="47" t="s">
        <v>41</v>
      </c>
      <c r="C27" s="58" t="s">
        <v>20</v>
      </c>
      <c r="D27" s="20" t="s">
        <v>42</v>
      </c>
      <c r="E27" s="19">
        <v>8</v>
      </c>
      <c r="F27" s="14" t="s">
        <v>38</v>
      </c>
      <c r="G27" s="2"/>
      <c r="H27" s="2"/>
      <c r="I27" s="2"/>
      <c r="J27" s="37"/>
      <c r="K27" s="37"/>
      <c r="L27" s="37"/>
      <c r="M27" s="2"/>
      <c r="N27" s="37"/>
      <c r="O27" s="2">
        <v>2</v>
      </c>
      <c r="P27" s="2">
        <v>2</v>
      </c>
      <c r="Q27" s="2">
        <v>2</v>
      </c>
      <c r="R27" s="2">
        <v>2</v>
      </c>
      <c r="S27" s="2">
        <f t="shared" si="1"/>
        <v>8</v>
      </c>
    </row>
    <row r="28" spans="1:20" ht="140.4" x14ac:dyDescent="0.3">
      <c r="A28" s="21">
        <v>5</v>
      </c>
      <c r="B28" s="14" t="s">
        <v>43</v>
      </c>
      <c r="C28" s="57" t="s">
        <v>20</v>
      </c>
      <c r="D28" s="20" t="s">
        <v>44</v>
      </c>
      <c r="E28" s="19">
        <v>8</v>
      </c>
      <c r="F28" s="14" t="s">
        <v>39</v>
      </c>
      <c r="G28" s="2"/>
      <c r="H28" s="2"/>
      <c r="I28" s="2"/>
      <c r="J28" s="37"/>
      <c r="K28" s="37"/>
      <c r="L28" s="37"/>
      <c r="M28" s="2"/>
      <c r="N28" s="37"/>
      <c r="O28" s="2">
        <v>2</v>
      </c>
      <c r="P28" s="2">
        <v>2</v>
      </c>
      <c r="Q28" s="2">
        <v>2</v>
      </c>
      <c r="R28" s="2">
        <v>2</v>
      </c>
      <c r="S28" s="2">
        <f t="shared" si="1"/>
        <v>8</v>
      </c>
    </row>
    <row r="29" spans="1:20" ht="202.8" x14ac:dyDescent="0.3">
      <c r="A29" s="266"/>
      <c r="B29" s="279"/>
      <c r="C29" s="51" t="s">
        <v>21</v>
      </c>
      <c r="D29" s="20" t="s">
        <v>68</v>
      </c>
      <c r="E29" s="19">
        <v>1</v>
      </c>
      <c r="F29" s="14" t="s">
        <v>45</v>
      </c>
      <c r="G29" s="2"/>
      <c r="H29" s="2"/>
      <c r="I29" s="2"/>
      <c r="J29" s="37"/>
      <c r="K29" s="37"/>
      <c r="L29" s="37"/>
      <c r="M29" s="2"/>
      <c r="N29" s="37"/>
      <c r="O29" s="2">
        <v>1</v>
      </c>
      <c r="P29" s="2"/>
      <c r="Q29" s="2"/>
      <c r="R29" s="2"/>
      <c r="S29" s="2">
        <f t="shared" si="1"/>
        <v>1</v>
      </c>
    </row>
    <row r="30" spans="1:20" ht="280.8" x14ac:dyDescent="0.3">
      <c r="A30" s="267"/>
      <c r="B30" s="279"/>
      <c r="C30" s="51" t="s">
        <v>22</v>
      </c>
      <c r="D30" s="20" t="s">
        <v>46</v>
      </c>
      <c r="E30" s="19">
        <v>4</v>
      </c>
      <c r="F30" s="14" t="s">
        <v>47</v>
      </c>
      <c r="G30" s="2"/>
      <c r="H30" s="2"/>
      <c r="I30" s="2"/>
      <c r="J30" s="37"/>
      <c r="K30" s="37"/>
      <c r="L30" s="37"/>
      <c r="M30" s="2"/>
      <c r="N30" s="37"/>
      <c r="O30" s="2">
        <v>1</v>
      </c>
      <c r="P30" s="2">
        <v>1</v>
      </c>
      <c r="Q30" s="2">
        <v>1</v>
      </c>
      <c r="R30" s="2">
        <v>1</v>
      </c>
      <c r="S30" s="2">
        <f t="shared" si="1"/>
        <v>4</v>
      </c>
    </row>
    <row r="31" spans="1:20" ht="109.2" x14ac:dyDescent="0.3">
      <c r="A31" s="267"/>
      <c r="B31" s="279"/>
      <c r="C31" s="51" t="s">
        <v>23</v>
      </c>
      <c r="D31" s="20" t="s">
        <v>48</v>
      </c>
      <c r="E31" s="19">
        <v>2</v>
      </c>
      <c r="F31" s="14" t="s">
        <v>40</v>
      </c>
      <c r="G31" s="2"/>
      <c r="H31" s="2"/>
      <c r="I31" s="2"/>
      <c r="J31" s="37"/>
      <c r="K31" s="37"/>
      <c r="L31" s="37"/>
      <c r="M31" s="2"/>
      <c r="N31" s="37"/>
      <c r="O31" s="2"/>
      <c r="P31" s="2"/>
      <c r="Q31" s="2"/>
      <c r="R31" s="2">
        <v>2</v>
      </c>
      <c r="S31" s="2">
        <f t="shared" si="1"/>
        <v>2</v>
      </c>
    </row>
    <row r="32" spans="1:20" ht="296.39999999999998" x14ac:dyDescent="0.3">
      <c r="A32" s="267"/>
      <c r="B32" s="279"/>
      <c r="C32" s="57" t="s">
        <v>24</v>
      </c>
      <c r="D32" s="20" t="s">
        <v>49</v>
      </c>
      <c r="E32" s="19">
        <v>8</v>
      </c>
      <c r="F32" s="14" t="s">
        <v>39</v>
      </c>
      <c r="G32" s="2"/>
      <c r="H32" s="2"/>
      <c r="I32" s="2"/>
      <c r="J32" s="37"/>
      <c r="K32" s="37"/>
      <c r="L32" s="37"/>
      <c r="M32" s="2"/>
      <c r="N32" s="37"/>
      <c r="O32" s="2">
        <v>2</v>
      </c>
      <c r="P32" s="2">
        <v>2</v>
      </c>
      <c r="Q32" s="2">
        <v>2</v>
      </c>
      <c r="R32" s="2">
        <v>2</v>
      </c>
      <c r="S32" s="2">
        <f t="shared" si="1"/>
        <v>8</v>
      </c>
    </row>
    <row r="33" spans="1:19" ht="62.4" x14ac:dyDescent="0.3">
      <c r="A33" s="267"/>
      <c r="B33" s="279"/>
      <c r="C33" s="51" t="s">
        <v>25</v>
      </c>
      <c r="D33" s="20" t="s">
        <v>50</v>
      </c>
      <c r="E33" s="19">
        <v>0</v>
      </c>
      <c r="F33" s="14" t="s">
        <v>38</v>
      </c>
      <c r="G33" s="2"/>
      <c r="H33" s="2"/>
      <c r="I33" s="2"/>
      <c r="J33" s="37"/>
      <c r="K33" s="37"/>
      <c r="L33" s="37"/>
      <c r="M33" s="2"/>
      <c r="N33" s="37"/>
      <c r="O33" s="2"/>
      <c r="P33" s="2"/>
      <c r="Q33" s="2"/>
      <c r="R33" s="2"/>
      <c r="S33" s="2">
        <f t="shared" si="1"/>
        <v>0</v>
      </c>
    </row>
    <row r="34" spans="1:19" ht="62.4" x14ac:dyDescent="0.3">
      <c r="A34" s="267"/>
      <c r="B34" s="279"/>
      <c r="C34" s="51" t="s">
        <v>26</v>
      </c>
      <c r="D34" s="20" t="s">
        <v>51</v>
      </c>
      <c r="E34" s="19">
        <v>0</v>
      </c>
      <c r="F34" s="14" t="s">
        <v>38</v>
      </c>
      <c r="G34" s="2"/>
      <c r="H34" s="2"/>
      <c r="I34" s="2"/>
      <c r="J34" s="37"/>
      <c r="K34" s="37"/>
      <c r="L34" s="37"/>
      <c r="M34" s="2"/>
      <c r="N34" s="37"/>
      <c r="O34" s="2"/>
      <c r="P34" s="2"/>
      <c r="Q34" s="2"/>
      <c r="R34" s="2"/>
      <c r="S34" s="2">
        <f t="shared" si="1"/>
        <v>0</v>
      </c>
    </row>
    <row r="35" spans="1:19" ht="78" x14ac:dyDescent="0.3">
      <c r="A35" s="267"/>
      <c r="B35" s="279"/>
      <c r="C35" s="51" t="s">
        <v>27</v>
      </c>
      <c r="D35" s="20" t="s">
        <v>52</v>
      </c>
      <c r="E35" s="19">
        <v>0</v>
      </c>
      <c r="F35" s="14" t="s">
        <v>38</v>
      </c>
      <c r="G35" s="2"/>
      <c r="H35" s="2"/>
      <c r="I35" s="2"/>
      <c r="J35" s="37"/>
      <c r="K35" s="37"/>
      <c r="L35" s="37"/>
      <c r="M35" s="2"/>
      <c r="N35" s="37"/>
      <c r="O35" s="2"/>
      <c r="P35" s="2"/>
      <c r="Q35" s="2"/>
      <c r="R35" s="2"/>
      <c r="S35" s="2">
        <f t="shared" si="1"/>
        <v>0</v>
      </c>
    </row>
    <row r="36" spans="1:19" ht="186" customHeight="1" x14ac:dyDescent="0.3">
      <c r="A36" s="268"/>
      <c r="B36" s="279"/>
      <c r="C36" s="51" t="s">
        <v>28</v>
      </c>
      <c r="D36" s="20" t="s">
        <v>53</v>
      </c>
      <c r="E36" s="19">
        <v>4</v>
      </c>
      <c r="F36" s="14" t="s">
        <v>39</v>
      </c>
      <c r="G36" s="2"/>
      <c r="H36" s="2"/>
      <c r="I36" s="2"/>
      <c r="J36" s="37"/>
      <c r="K36" s="37"/>
      <c r="L36" s="37"/>
      <c r="M36" s="2"/>
      <c r="N36" s="37"/>
      <c r="O36" s="2">
        <v>1</v>
      </c>
      <c r="P36" s="2">
        <v>1</v>
      </c>
      <c r="Q36" s="2">
        <v>1</v>
      </c>
      <c r="R36" s="2">
        <v>1</v>
      </c>
      <c r="S36" s="2">
        <f t="shared" si="1"/>
        <v>4</v>
      </c>
    </row>
    <row r="37" spans="1:19" ht="114.9" customHeight="1" x14ac:dyDescent="0.3">
      <c r="A37" s="26"/>
      <c r="B37" s="48"/>
      <c r="C37" s="59" t="s">
        <v>29</v>
      </c>
      <c r="D37" s="27" t="s">
        <v>75</v>
      </c>
      <c r="E37" s="28">
        <v>4</v>
      </c>
      <c r="F37" s="29" t="s">
        <v>38</v>
      </c>
      <c r="G37" s="7"/>
      <c r="H37" s="7"/>
      <c r="I37" s="7"/>
      <c r="J37" s="39"/>
      <c r="K37" s="39"/>
      <c r="L37" s="39"/>
      <c r="M37" s="7"/>
      <c r="N37" s="39"/>
      <c r="O37" s="7">
        <v>1</v>
      </c>
      <c r="P37" s="7">
        <v>1</v>
      </c>
      <c r="Q37" s="7">
        <v>1</v>
      </c>
      <c r="R37" s="7">
        <v>1</v>
      </c>
      <c r="S37" s="2">
        <f t="shared" si="1"/>
        <v>4</v>
      </c>
    </row>
    <row r="38" spans="1:19" ht="57" customHeight="1" x14ac:dyDescent="0.3">
      <c r="A38" s="7"/>
      <c r="B38" s="45"/>
      <c r="C38" s="51"/>
      <c r="D38" s="30"/>
      <c r="E38" s="19"/>
      <c r="F38" s="21"/>
      <c r="G38" s="7"/>
      <c r="H38" s="7"/>
      <c r="I38" s="7"/>
      <c r="J38" s="39"/>
      <c r="K38" s="39"/>
      <c r="L38" s="39"/>
      <c r="M38" s="7"/>
      <c r="N38" s="39"/>
      <c r="O38" s="7"/>
      <c r="P38" s="7"/>
      <c r="Q38" s="7"/>
      <c r="R38" s="7"/>
      <c r="S38" s="7"/>
    </row>
    <row r="39" spans="1:19" ht="29.25" customHeight="1" x14ac:dyDescent="0.3">
      <c r="A39" s="269" t="s">
        <v>74</v>
      </c>
      <c r="B39" s="270"/>
      <c r="C39" s="270"/>
      <c r="D39" s="271"/>
      <c r="E39" s="19">
        <f>SUM(E10:E38)</f>
        <v>197</v>
      </c>
      <c r="F39" s="14"/>
      <c r="G39" s="2"/>
      <c r="H39" s="2">
        <f>SUM(H10:H38)</f>
        <v>0</v>
      </c>
      <c r="I39" s="2">
        <f t="shared" ref="I39:R39" si="2">SUM(I10:I38)</f>
        <v>0</v>
      </c>
      <c r="J39" s="37">
        <f t="shared" si="2"/>
        <v>0</v>
      </c>
      <c r="K39" s="37">
        <f t="shared" si="2"/>
        <v>0</v>
      </c>
      <c r="L39" s="37">
        <f t="shared" si="2"/>
        <v>0</v>
      </c>
      <c r="M39" s="2">
        <f t="shared" si="2"/>
        <v>0</v>
      </c>
      <c r="N39" s="37">
        <f t="shared" si="2"/>
        <v>0</v>
      </c>
      <c r="O39" s="2">
        <f t="shared" si="2"/>
        <v>51</v>
      </c>
      <c r="P39" s="2">
        <f t="shared" si="2"/>
        <v>45</v>
      </c>
      <c r="Q39" s="2">
        <f t="shared" si="2"/>
        <v>48</v>
      </c>
      <c r="R39" s="2">
        <f t="shared" si="2"/>
        <v>53</v>
      </c>
      <c r="S39" s="2">
        <f>SUM(S10:S38)</f>
        <v>197</v>
      </c>
    </row>
    <row r="40" spans="1:19" x14ac:dyDescent="0.3">
      <c r="D40" s="11"/>
    </row>
    <row r="41" spans="1:19" x14ac:dyDescent="0.3">
      <c r="D41" s="11"/>
      <c r="F41">
        <f>E39/5</f>
        <v>39.4</v>
      </c>
      <c r="O41" s="284" t="s">
        <v>315</v>
      </c>
      <c r="P41" s="284"/>
      <c r="Q41" s="284"/>
      <c r="R41" s="284"/>
      <c r="S41" s="284"/>
    </row>
    <row r="42" spans="1:19" x14ac:dyDescent="0.3">
      <c r="B42" s="42"/>
      <c r="C42" s="52"/>
      <c r="D42" s="10"/>
      <c r="E42" s="24"/>
      <c r="F42" s="1"/>
      <c r="G42" s="1"/>
      <c r="H42" s="1"/>
      <c r="I42" s="1"/>
      <c r="J42" s="32"/>
      <c r="K42" s="32"/>
      <c r="L42" s="32"/>
      <c r="M42" s="1"/>
      <c r="N42" s="32"/>
      <c r="O42" s="284" t="s">
        <v>54</v>
      </c>
      <c r="P42" s="284"/>
      <c r="Q42" s="284"/>
      <c r="R42" s="284"/>
      <c r="S42" s="284"/>
    </row>
    <row r="43" spans="1:19" ht="14.4" x14ac:dyDescent="0.3">
      <c r="B43" s="284" t="s">
        <v>317</v>
      </c>
      <c r="C43" s="284"/>
      <c r="D43" s="284"/>
      <c r="E43" s="284"/>
      <c r="F43" s="1"/>
      <c r="G43" s="1"/>
      <c r="H43" s="1"/>
      <c r="I43" s="1"/>
      <c r="J43" s="32"/>
      <c r="K43" s="32"/>
      <c r="L43" s="32"/>
      <c r="M43" s="1"/>
      <c r="N43" s="32"/>
      <c r="O43" s="284" t="s">
        <v>72</v>
      </c>
      <c r="P43" s="284"/>
      <c r="Q43" s="284"/>
      <c r="R43" s="284"/>
      <c r="S43" s="284"/>
    </row>
    <row r="44" spans="1:19" x14ac:dyDescent="0.3">
      <c r="B44" s="42"/>
      <c r="C44" s="52"/>
      <c r="D44" s="10"/>
      <c r="E44" s="24"/>
      <c r="F44" s="1"/>
      <c r="G44" s="1"/>
      <c r="H44" s="1"/>
      <c r="I44" s="1"/>
      <c r="J44" s="32"/>
      <c r="K44" s="32"/>
      <c r="L44" s="32"/>
      <c r="M44" s="1"/>
      <c r="N44" s="32"/>
      <c r="O44" s="1"/>
      <c r="P44" s="1"/>
      <c r="Q44" s="1"/>
      <c r="R44" s="1"/>
      <c r="S44" s="1"/>
    </row>
    <row r="45" spans="1:19" x14ac:dyDescent="0.3">
      <c r="B45" s="42"/>
      <c r="C45" s="52"/>
      <c r="D45" s="10"/>
      <c r="E45" s="24"/>
      <c r="F45" s="1"/>
      <c r="G45" s="1"/>
      <c r="H45" s="1"/>
      <c r="I45" s="1"/>
      <c r="J45" s="32"/>
      <c r="K45" s="32"/>
      <c r="L45" s="32"/>
      <c r="M45" s="1"/>
      <c r="N45" s="32"/>
      <c r="O45" s="1"/>
      <c r="P45" s="1"/>
      <c r="Q45" s="1"/>
      <c r="R45" s="1"/>
      <c r="S45" s="1"/>
    </row>
    <row r="46" spans="1:19" ht="14.4" x14ac:dyDescent="0.3">
      <c r="B46" s="284" t="s">
        <v>320</v>
      </c>
      <c r="C46" s="284"/>
      <c r="D46" s="284"/>
      <c r="E46" s="284"/>
      <c r="F46" s="1"/>
      <c r="G46" s="1"/>
      <c r="H46" s="1"/>
      <c r="I46" s="1"/>
      <c r="J46" s="32"/>
      <c r="K46" s="32"/>
      <c r="L46" s="32"/>
      <c r="M46" s="1"/>
      <c r="N46" s="32"/>
      <c r="O46" s="284" t="str">
        <f>D3</f>
        <v>MUH MASRURI MUSTOFA, S.T</v>
      </c>
      <c r="P46" s="284"/>
      <c r="Q46" s="284"/>
      <c r="R46" s="284"/>
      <c r="S46" s="284"/>
    </row>
    <row r="49" spans="8:33" x14ac:dyDescent="0.3">
      <c r="H49">
        <f>SUM(H39:R39)</f>
        <v>197</v>
      </c>
    </row>
    <row r="51" spans="8:33" x14ac:dyDescent="0.3">
      <c r="K51" s="33">
        <f>37/41*100</f>
        <v>90.243902439024396</v>
      </c>
      <c r="L51" s="33">
        <f>K51*70</f>
        <v>6317.0731707317082</v>
      </c>
      <c r="M51">
        <f>L51/100</f>
        <v>63.170731707317081</v>
      </c>
    </row>
    <row r="52" spans="8:33" x14ac:dyDescent="0.3">
      <c r="K52" s="33">
        <v>100</v>
      </c>
      <c r="L52" s="33">
        <f>K52*30</f>
        <v>3000</v>
      </c>
      <c r="M52">
        <f>L52/100</f>
        <v>30</v>
      </c>
    </row>
    <row r="57" spans="8:33" x14ac:dyDescent="0.3">
      <c r="W57" s="2">
        <f>SUM(W28:W56)</f>
        <v>0</v>
      </c>
      <c r="X57" s="2">
        <f t="shared" ref="X57" si="3">SUM(X28:X56)</f>
        <v>0</v>
      </c>
      <c r="Y57" s="2">
        <f t="shared" ref="Y57" si="4">SUM(Y28:Y56)</f>
        <v>0</v>
      </c>
      <c r="Z57" s="2">
        <f t="shared" ref="Z57" si="5">SUM(Z28:Z56)</f>
        <v>0</v>
      </c>
      <c r="AA57" s="2">
        <f t="shared" ref="AA57" si="6">SUM(AA28:AA56)</f>
        <v>0</v>
      </c>
      <c r="AB57" s="2">
        <f t="shared" ref="AB57" si="7">SUM(AB28:AB56)</f>
        <v>0</v>
      </c>
      <c r="AC57" s="2">
        <f t="shared" ref="AC57" si="8">SUM(AC28:AC56)</f>
        <v>0</v>
      </c>
      <c r="AD57" s="2">
        <f t="shared" ref="AD57" si="9">SUM(AD28:AD56)</f>
        <v>0</v>
      </c>
      <c r="AE57" s="2">
        <f t="shared" ref="AE57" si="10">SUM(AE28:AE56)</f>
        <v>0</v>
      </c>
      <c r="AF57" s="2">
        <f t="shared" ref="AF57" si="11">SUM(AF28:AF56)</f>
        <v>0</v>
      </c>
      <c r="AG57" s="2">
        <f t="shared" ref="AG57" si="12">SUM(AG28:AG56)</f>
        <v>0</v>
      </c>
    </row>
  </sheetData>
  <mergeCells count="24">
    <mergeCell ref="T10:U10"/>
    <mergeCell ref="T11:U11"/>
    <mergeCell ref="B43:E43"/>
    <mergeCell ref="O43:S43"/>
    <mergeCell ref="B46:E46"/>
    <mergeCell ref="O46:S46"/>
    <mergeCell ref="O41:S41"/>
    <mergeCell ref="O42:S42"/>
    <mergeCell ref="A11:A20"/>
    <mergeCell ref="A23:A26"/>
    <mergeCell ref="A39:D39"/>
    <mergeCell ref="A1:S1"/>
    <mergeCell ref="A6:A7"/>
    <mergeCell ref="B6:B7"/>
    <mergeCell ref="D6:D7"/>
    <mergeCell ref="E6:F7"/>
    <mergeCell ref="S6:S7"/>
    <mergeCell ref="C6:C7"/>
    <mergeCell ref="E8:F8"/>
    <mergeCell ref="E9:F9"/>
    <mergeCell ref="B29:B36"/>
    <mergeCell ref="B11:B20"/>
    <mergeCell ref="B25:B26"/>
    <mergeCell ref="A29:A36"/>
  </mergeCells>
  <pageMargins left="1.2598425196850394" right="0.23622047244094491" top="0.59055118110236227" bottom="0.39370078740157483" header="0.15748031496062992" footer="0.15748031496062992"/>
  <pageSetup paperSize="5" scale="54" fitToHeight="0" orientation="landscape"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S52"/>
  <sheetViews>
    <sheetView view="pageBreakPreview" zoomScaleNormal="100" zoomScaleSheetLayoutView="100" workbookViewId="0">
      <selection sqref="A1:S52"/>
    </sheetView>
  </sheetViews>
  <sheetFormatPr defaultColWidth="9.109375" defaultRowHeight="15.6" x14ac:dyDescent="0.25"/>
  <cols>
    <col min="1" max="1" width="5" style="94" customWidth="1"/>
    <col min="2" max="2" width="18" style="95" customWidth="1"/>
    <col min="3" max="3" width="6" style="94" customWidth="1"/>
    <col min="4" max="4" width="23.44140625" style="95" customWidth="1"/>
    <col min="5" max="5" width="6.33203125" style="92" customWidth="1"/>
    <col min="6" max="6" width="12.109375" style="92" customWidth="1"/>
    <col min="7" max="14" width="8.6640625" style="92" hidden="1" customWidth="1"/>
    <col min="15" max="18" width="8.6640625" style="92" customWidth="1"/>
    <col min="19" max="19" width="9.88671875" style="92" customWidth="1"/>
    <col min="20" max="16384" width="9.109375" style="92"/>
  </cols>
  <sheetData>
    <row r="1" spans="1:19" ht="13.8" x14ac:dyDescent="0.25">
      <c r="A1" s="285" t="s">
        <v>0</v>
      </c>
      <c r="B1" s="285"/>
      <c r="C1" s="285"/>
      <c r="D1" s="285"/>
      <c r="E1" s="285"/>
      <c r="F1" s="285"/>
      <c r="G1" s="285"/>
      <c r="H1" s="285"/>
      <c r="I1" s="285"/>
      <c r="J1" s="285"/>
      <c r="K1" s="285"/>
      <c r="L1" s="285"/>
      <c r="M1" s="285"/>
      <c r="N1" s="285"/>
      <c r="O1" s="285"/>
      <c r="P1" s="285"/>
      <c r="Q1" s="285"/>
      <c r="R1" s="285"/>
      <c r="S1" s="285"/>
    </row>
    <row r="2" spans="1:19" x14ac:dyDescent="0.25">
      <c r="A2" s="93"/>
      <c r="B2" s="93"/>
      <c r="C2" s="93"/>
      <c r="D2" s="93"/>
      <c r="E2" s="91"/>
      <c r="F2" s="91"/>
      <c r="G2" s="91"/>
      <c r="H2" s="91"/>
      <c r="I2" s="91"/>
      <c r="J2" s="91"/>
      <c r="K2" s="91"/>
      <c r="L2" s="91"/>
      <c r="M2" s="91"/>
      <c r="N2" s="91"/>
      <c r="O2" s="91"/>
      <c r="P2" s="91"/>
      <c r="Q2" s="91"/>
      <c r="R2" s="91"/>
      <c r="S2" s="91"/>
    </row>
    <row r="3" spans="1:19" x14ac:dyDescent="0.25">
      <c r="A3" s="94" t="s">
        <v>1</v>
      </c>
      <c r="C3" s="94" t="s">
        <v>318</v>
      </c>
      <c r="D3" s="96" t="s">
        <v>321</v>
      </c>
    </row>
    <row r="4" spans="1:19" x14ac:dyDescent="0.25">
      <c r="A4" s="94" t="s">
        <v>2</v>
      </c>
      <c r="C4" s="94" t="s">
        <v>318</v>
      </c>
      <c r="D4" s="96" t="s">
        <v>119</v>
      </c>
    </row>
    <row r="5" spans="1:19" x14ac:dyDescent="0.25">
      <c r="D5" s="96"/>
    </row>
    <row r="6" spans="1:19" ht="13.8" x14ac:dyDescent="0.25">
      <c r="A6" s="286" t="s">
        <v>3</v>
      </c>
      <c r="B6" s="286" t="s">
        <v>4</v>
      </c>
      <c r="C6" s="286"/>
      <c r="D6" s="286" t="s">
        <v>5</v>
      </c>
      <c r="E6" s="287" t="s">
        <v>6</v>
      </c>
      <c r="F6" s="287"/>
      <c r="G6" s="287" t="s">
        <v>105</v>
      </c>
      <c r="H6" s="287"/>
      <c r="I6" s="287"/>
      <c r="J6" s="287"/>
      <c r="K6" s="287"/>
      <c r="L6" s="287"/>
      <c r="M6" s="287"/>
      <c r="N6" s="287"/>
      <c r="O6" s="287"/>
      <c r="P6" s="287"/>
      <c r="Q6" s="287"/>
      <c r="R6" s="287"/>
      <c r="S6" s="287" t="s">
        <v>7</v>
      </c>
    </row>
    <row r="7" spans="1:19" ht="13.8" x14ac:dyDescent="0.25">
      <c r="A7" s="286"/>
      <c r="B7" s="286"/>
      <c r="C7" s="286"/>
      <c r="D7" s="286"/>
      <c r="E7" s="287"/>
      <c r="F7" s="287"/>
      <c r="G7" s="98" t="s">
        <v>8</v>
      </c>
      <c r="H7" s="98" t="s">
        <v>9</v>
      </c>
      <c r="I7" s="98" t="s">
        <v>10</v>
      </c>
      <c r="J7" s="98" t="s">
        <v>11</v>
      </c>
      <c r="K7" s="98" t="s">
        <v>12</v>
      </c>
      <c r="L7" s="98" t="s">
        <v>13</v>
      </c>
      <c r="M7" s="98" t="s">
        <v>14</v>
      </c>
      <c r="N7" s="97" t="s">
        <v>15</v>
      </c>
      <c r="O7" s="97" t="s">
        <v>16</v>
      </c>
      <c r="P7" s="97" t="s">
        <v>17</v>
      </c>
      <c r="Q7" s="97" t="s">
        <v>18</v>
      </c>
      <c r="R7" s="97" t="s">
        <v>19</v>
      </c>
      <c r="S7" s="287"/>
    </row>
    <row r="8" spans="1:19" x14ac:dyDescent="0.25">
      <c r="A8" s="99" t="s">
        <v>20</v>
      </c>
      <c r="B8" s="99" t="s">
        <v>21</v>
      </c>
      <c r="C8" s="99"/>
      <c r="D8" s="99" t="s">
        <v>22</v>
      </c>
      <c r="E8" s="288" t="s">
        <v>23</v>
      </c>
      <c r="F8" s="288"/>
      <c r="G8" s="101" t="s">
        <v>24</v>
      </c>
      <c r="H8" s="101" t="s">
        <v>25</v>
      </c>
      <c r="I8" s="101" t="s">
        <v>26</v>
      </c>
      <c r="J8" s="101" t="s">
        <v>27</v>
      </c>
      <c r="K8" s="101" t="s">
        <v>28</v>
      </c>
      <c r="L8" s="101" t="s">
        <v>29</v>
      </c>
      <c r="M8" s="101" t="s">
        <v>30</v>
      </c>
      <c r="N8" s="100" t="s">
        <v>24</v>
      </c>
      <c r="O8" s="100" t="s">
        <v>25</v>
      </c>
      <c r="P8" s="100" t="s">
        <v>26</v>
      </c>
      <c r="Q8" s="100" t="s">
        <v>27</v>
      </c>
      <c r="R8" s="100" t="s">
        <v>28</v>
      </c>
      <c r="S8" s="100" t="s">
        <v>29</v>
      </c>
    </row>
    <row r="9" spans="1:19" x14ac:dyDescent="0.25">
      <c r="A9" s="102"/>
      <c r="B9" s="102"/>
      <c r="C9" s="102"/>
      <c r="D9" s="103"/>
      <c r="E9" s="289"/>
      <c r="F9" s="289"/>
      <c r="G9" s="101"/>
      <c r="H9" s="101"/>
      <c r="I9" s="101"/>
      <c r="J9" s="101"/>
      <c r="K9" s="101"/>
      <c r="L9" s="101"/>
      <c r="M9" s="101"/>
      <c r="N9" s="104"/>
      <c r="O9" s="104"/>
      <c r="P9" s="104"/>
      <c r="Q9" s="104"/>
      <c r="R9" s="104"/>
      <c r="S9" s="104"/>
    </row>
    <row r="10" spans="1:19" ht="249.75" customHeight="1" x14ac:dyDescent="0.25">
      <c r="A10" s="105">
        <v>1</v>
      </c>
      <c r="B10" s="291" t="s">
        <v>106</v>
      </c>
      <c r="C10" s="106" t="s">
        <v>20</v>
      </c>
      <c r="D10" s="107" t="s">
        <v>293</v>
      </c>
      <c r="E10" s="97">
        <v>10</v>
      </c>
      <c r="F10" s="108" t="s">
        <v>38</v>
      </c>
      <c r="G10" s="109"/>
      <c r="H10" s="109"/>
      <c r="I10" s="109"/>
      <c r="J10" s="109"/>
      <c r="K10" s="109"/>
      <c r="L10" s="109"/>
      <c r="M10" s="109"/>
      <c r="N10" s="110"/>
      <c r="O10" s="110">
        <v>2</v>
      </c>
      <c r="P10" s="110">
        <v>2</v>
      </c>
      <c r="Q10" s="110">
        <v>4</v>
      </c>
      <c r="R10" s="110">
        <v>2</v>
      </c>
      <c r="S10" s="110">
        <f>SUM(N10:R10)</f>
        <v>10</v>
      </c>
    </row>
    <row r="11" spans="1:19" ht="166.5" customHeight="1" x14ac:dyDescent="0.25">
      <c r="A11" s="290"/>
      <c r="B11" s="292"/>
      <c r="C11" s="106" t="s">
        <v>21</v>
      </c>
      <c r="D11" s="107" t="s">
        <v>79</v>
      </c>
      <c r="E11" s="111">
        <v>8</v>
      </c>
      <c r="F11" s="108" t="s">
        <v>37</v>
      </c>
      <c r="G11" s="112"/>
      <c r="H11" s="112"/>
      <c r="I11" s="112"/>
      <c r="J11" s="112"/>
      <c r="K11" s="112"/>
      <c r="L11" s="112"/>
      <c r="M11" s="112"/>
      <c r="N11" s="113"/>
      <c r="O11" s="113">
        <v>4</v>
      </c>
      <c r="P11" s="113"/>
      <c r="Q11" s="113">
        <v>4</v>
      </c>
      <c r="R11" s="113"/>
      <c r="S11" s="110">
        <f t="shared" ref="S11:S44" si="0">SUM(N11:R11)</f>
        <v>8</v>
      </c>
    </row>
    <row r="12" spans="1:19" ht="374.4" x14ac:dyDescent="0.25">
      <c r="A12" s="290"/>
      <c r="B12" s="293"/>
      <c r="C12" s="106" t="s">
        <v>22</v>
      </c>
      <c r="D12" s="114" t="s">
        <v>292</v>
      </c>
      <c r="E12" s="111">
        <v>8</v>
      </c>
      <c r="F12" s="108" t="s">
        <v>38</v>
      </c>
      <c r="G12" s="112"/>
      <c r="H12" s="112"/>
      <c r="I12" s="112"/>
      <c r="J12" s="112"/>
      <c r="K12" s="112"/>
      <c r="L12" s="112"/>
      <c r="M12" s="112"/>
      <c r="N12" s="113"/>
      <c r="O12" s="113">
        <v>2</v>
      </c>
      <c r="P12" s="113">
        <v>2</v>
      </c>
      <c r="Q12" s="113">
        <v>2</v>
      </c>
      <c r="R12" s="113">
        <v>2</v>
      </c>
      <c r="S12" s="110">
        <f t="shared" si="0"/>
        <v>8</v>
      </c>
    </row>
    <row r="13" spans="1:19" ht="368.25" customHeight="1" x14ac:dyDescent="0.25">
      <c r="A13" s="105">
        <v>2</v>
      </c>
      <c r="B13" s="114" t="s">
        <v>107</v>
      </c>
      <c r="C13" s="106" t="s">
        <v>20</v>
      </c>
      <c r="D13" s="119" t="s">
        <v>217</v>
      </c>
      <c r="E13" s="124">
        <v>8</v>
      </c>
      <c r="F13" s="108" t="s">
        <v>38</v>
      </c>
      <c r="G13" s="115"/>
      <c r="H13" s="115"/>
      <c r="I13" s="115"/>
      <c r="J13" s="115"/>
      <c r="K13" s="115"/>
      <c r="L13" s="115"/>
      <c r="M13" s="115"/>
      <c r="N13" s="116"/>
      <c r="O13" s="116">
        <v>2</v>
      </c>
      <c r="P13" s="116">
        <v>2</v>
      </c>
      <c r="Q13" s="116">
        <v>2</v>
      </c>
      <c r="R13" s="116">
        <v>2</v>
      </c>
      <c r="S13" s="110">
        <f t="shared" si="0"/>
        <v>8</v>
      </c>
    </row>
    <row r="14" spans="1:19" ht="400.5" customHeight="1" x14ac:dyDescent="0.25">
      <c r="A14" s="105">
        <v>3</v>
      </c>
      <c r="B14" s="114" t="s">
        <v>108</v>
      </c>
      <c r="C14" s="106" t="s">
        <v>20</v>
      </c>
      <c r="D14" s="107" t="s">
        <v>294</v>
      </c>
      <c r="E14" s="111">
        <v>5</v>
      </c>
      <c r="F14" s="108" t="s">
        <v>37</v>
      </c>
      <c r="G14" s="112"/>
      <c r="H14" s="112"/>
      <c r="I14" s="112"/>
      <c r="J14" s="112"/>
      <c r="K14" s="112"/>
      <c r="L14" s="112"/>
      <c r="M14" s="112"/>
      <c r="N14" s="113"/>
      <c r="O14" s="113">
        <v>1</v>
      </c>
      <c r="P14" s="113">
        <v>1</v>
      </c>
      <c r="Q14" s="113">
        <v>2</v>
      </c>
      <c r="R14" s="113">
        <v>1</v>
      </c>
      <c r="S14" s="110">
        <f t="shared" si="0"/>
        <v>5</v>
      </c>
    </row>
    <row r="15" spans="1:19" ht="93.6" x14ac:dyDescent="0.25">
      <c r="A15" s="105">
        <v>4</v>
      </c>
      <c r="B15" s="114" t="s">
        <v>109</v>
      </c>
      <c r="C15" s="106" t="s">
        <v>20</v>
      </c>
      <c r="D15" s="107" t="s">
        <v>218</v>
      </c>
      <c r="E15" s="111">
        <v>4</v>
      </c>
      <c r="F15" s="108" t="s">
        <v>81</v>
      </c>
      <c r="G15" s="112"/>
      <c r="H15" s="112"/>
      <c r="I15" s="112"/>
      <c r="J15" s="112"/>
      <c r="K15" s="112"/>
      <c r="L15" s="112"/>
      <c r="M15" s="112"/>
      <c r="N15" s="113"/>
      <c r="O15" s="113">
        <v>1</v>
      </c>
      <c r="P15" s="113">
        <v>1</v>
      </c>
      <c r="Q15" s="113">
        <v>1</v>
      </c>
      <c r="R15" s="113">
        <v>1</v>
      </c>
      <c r="S15" s="110">
        <f t="shared" si="0"/>
        <v>4</v>
      </c>
    </row>
    <row r="16" spans="1:19" ht="46.8" x14ac:dyDescent="0.25">
      <c r="A16" s="290"/>
      <c r="B16" s="286"/>
      <c r="C16" s="106" t="s">
        <v>21</v>
      </c>
      <c r="D16" s="114" t="s">
        <v>110</v>
      </c>
      <c r="E16" s="113">
        <v>12</v>
      </c>
      <c r="F16" s="108" t="s">
        <v>101</v>
      </c>
      <c r="G16" s="112"/>
      <c r="H16" s="112"/>
      <c r="I16" s="112"/>
      <c r="J16" s="112"/>
      <c r="K16" s="112"/>
      <c r="L16" s="112"/>
      <c r="M16" s="112"/>
      <c r="N16" s="113"/>
      <c r="O16" s="113">
        <v>3</v>
      </c>
      <c r="P16" s="113">
        <v>3</v>
      </c>
      <c r="Q16" s="113">
        <v>3</v>
      </c>
      <c r="R16" s="113">
        <v>3</v>
      </c>
      <c r="S16" s="110">
        <f t="shared" si="0"/>
        <v>12</v>
      </c>
    </row>
    <row r="17" spans="1:19" ht="62.4" x14ac:dyDescent="0.25">
      <c r="A17" s="290"/>
      <c r="B17" s="286"/>
      <c r="C17" s="106" t="s">
        <v>22</v>
      </c>
      <c r="D17" s="114" t="s">
        <v>111</v>
      </c>
      <c r="E17" s="113">
        <v>1</v>
      </c>
      <c r="F17" s="108" t="s">
        <v>37</v>
      </c>
      <c r="G17" s="112"/>
      <c r="H17" s="112"/>
      <c r="I17" s="112"/>
      <c r="J17" s="112"/>
      <c r="K17" s="112"/>
      <c r="L17" s="112"/>
      <c r="M17" s="112"/>
      <c r="N17" s="113"/>
      <c r="O17" s="113">
        <v>1</v>
      </c>
      <c r="P17" s="113"/>
      <c r="Q17" s="113"/>
      <c r="R17" s="113"/>
      <c r="S17" s="110">
        <f t="shared" si="0"/>
        <v>1</v>
      </c>
    </row>
    <row r="18" spans="1:19" ht="46.8" x14ac:dyDescent="0.25">
      <c r="A18" s="290"/>
      <c r="B18" s="286"/>
      <c r="C18" s="106" t="s">
        <v>23</v>
      </c>
      <c r="D18" s="107" t="s">
        <v>248</v>
      </c>
      <c r="E18" s="113">
        <v>4</v>
      </c>
      <c r="F18" s="108" t="s">
        <v>37</v>
      </c>
      <c r="G18" s="112"/>
      <c r="H18" s="112"/>
      <c r="I18" s="112"/>
      <c r="J18" s="112"/>
      <c r="K18" s="112"/>
      <c r="L18" s="112"/>
      <c r="M18" s="112"/>
      <c r="N18" s="113"/>
      <c r="O18" s="113">
        <v>1</v>
      </c>
      <c r="P18" s="113">
        <v>1</v>
      </c>
      <c r="Q18" s="113">
        <v>1</v>
      </c>
      <c r="R18" s="113">
        <v>1</v>
      </c>
      <c r="S18" s="110">
        <f t="shared" si="0"/>
        <v>4</v>
      </c>
    </row>
    <row r="19" spans="1:19" ht="46.8" x14ac:dyDescent="0.3">
      <c r="A19" s="290"/>
      <c r="B19" s="286"/>
      <c r="C19" s="106" t="s">
        <v>24</v>
      </c>
      <c r="D19" s="123" t="s">
        <v>247</v>
      </c>
      <c r="E19" s="113">
        <v>4</v>
      </c>
      <c r="F19" s="108" t="s">
        <v>37</v>
      </c>
      <c r="G19" s="112"/>
      <c r="H19" s="112"/>
      <c r="I19" s="112"/>
      <c r="J19" s="112"/>
      <c r="K19" s="112"/>
      <c r="L19" s="112"/>
      <c r="M19" s="112"/>
      <c r="N19" s="113"/>
      <c r="O19" s="113">
        <v>1</v>
      </c>
      <c r="P19" s="113">
        <v>1</v>
      </c>
      <c r="Q19" s="113">
        <v>1</v>
      </c>
      <c r="R19" s="113">
        <v>1</v>
      </c>
      <c r="S19" s="110">
        <f t="shared" si="0"/>
        <v>4</v>
      </c>
    </row>
    <row r="20" spans="1:19" ht="46.8" x14ac:dyDescent="0.3">
      <c r="A20" s="290"/>
      <c r="B20" s="286"/>
      <c r="C20" s="106" t="s">
        <v>25</v>
      </c>
      <c r="D20" s="123" t="s">
        <v>249</v>
      </c>
      <c r="E20" s="113">
        <v>4</v>
      </c>
      <c r="F20" s="108" t="s">
        <v>37</v>
      </c>
      <c r="G20" s="112"/>
      <c r="H20" s="112"/>
      <c r="I20" s="112"/>
      <c r="J20" s="112"/>
      <c r="K20" s="112"/>
      <c r="L20" s="112"/>
      <c r="M20" s="112"/>
      <c r="N20" s="113"/>
      <c r="O20" s="113">
        <v>1</v>
      </c>
      <c r="P20" s="113">
        <v>1</v>
      </c>
      <c r="Q20" s="113">
        <v>1</v>
      </c>
      <c r="R20" s="113">
        <v>1</v>
      </c>
      <c r="S20" s="110">
        <f t="shared" si="0"/>
        <v>4</v>
      </c>
    </row>
    <row r="21" spans="1:19" ht="46.8" x14ac:dyDescent="0.3">
      <c r="A21" s="290"/>
      <c r="B21" s="286"/>
      <c r="C21" s="106" t="s">
        <v>26</v>
      </c>
      <c r="D21" s="123" t="s">
        <v>219</v>
      </c>
      <c r="E21" s="113">
        <v>4</v>
      </c>
      <c r="F21" s="108" t="s">
        <v>37</v>
      </c>
      <c r="G21" s="112"/>
      <c r="H21" s="112"/>
      <c r="I21" s="112"/>
      <c r="J21" s="112"/>
      <c r="K21" s="112"/>
      <c r="L21" s="112"/>
      <c r="M21" s="112"/>
      <c r="N21" s="113"/>
      <c r="O21" s="113">
        <v>1</v>
      </c>
      <c r="P21" s="113">
        <v>1</v>
      </c>
      <c r="Q21" s="113">
        <v>1</v>
      </c>
      <c r="R21" s="113">
        <v>1</v>
      </c>
      <c r="S21" s="110">
        <f t="shared" si="0"/>
        <v>4</v>
      </c>
    </row>
    <row r="22" spans="1:19" ht="31.2" x14ac:dyDescent="0.3">
      <c r="A22" s="290"/>
      <c r="B22" s="286"/>
      <c r="C22" s="106" t="s">
        <v>27</v>
      </c>
      <c r="D22" s="120" t="s">
        <v>222</v>
      </c>
      <c r="E22" s="113">
        <v>1</v>
      </c>
      <c r="F22" s="108" t="s">
        <v>37</v>
      </c>
      <c r="G22" s="112"/>
      <c r="H22" s="112"/>
      <c r="I22" s="112"/>
      <c r="J22" s="112"/>
      <c r="K22" s="112"/>
      <c r="L22" s="112"/>
      <c r="M22" s="112"/>
      <c r="O22" s="113">
        <v>1</v>
      </c>
      <c r="P22" s="113"/>
      <c r="Q22" s="113"/>
      <c r="R22" s="113"/>
      <c r="S22" s="110">
        <f>SUM(O22:R22)</f>
        <v>1</v>
      </c>
    </row>
    <row r="23" spans="1:19" x14ac:dyDescent="0.3">
      <c r="A23" s="290"/>
      <c r="B23" s="286"/>
      <c r="C23" s="106" t="s">
        <v>28</v>
      </c>
      <c r="D23" s="123" t="s">
        <v>224</v>
      </c>
      <c r="E23" s="113">
        <v>1</v>
      </c>
      <c r="F23" s="108" t="s">
        <v>37</v>
      </c>
      <c r="G23" s="112"/>
      <c r="H23" s="112"/>
      <c r="I23" s="112"/>
      <c r="J23" s="112"/>
      <c r="K23" s="112"/>
      <c r="L23" s="112"/>
      <c r="M23" s="112"/>
      <c r="N23" s="113"/>
      <c r="O23" s="113"/>
      <c r="P23" s="113">
        <v>1</v>
      </c>
      <c r="Q23" s="113"/>
      <c r="R23" s="113"/>
      <c r="S23" s="110">
        <f t="shared" si="0"/>
        <v>1</v>
      </c>
    </row>
    <row r="24" spans="1:19" ht="46.8" x14ac:dyDescent="0.25">
      <c r="A24" s="290"/>
      <c r="B24" s="286"/>
      <c r="C24" s="106" t="s">
        <v>29</v>
      </c>
      <c r="D24" s="107" t="s">
        <v>112</v>
      </c>
      <c r="E24" s="113">
        <v>4</v>
      </c>
      <c r="F24" s="108" t="s">
        <v>81</v>
      </c>
      <c r="G24" s="112"/>
      <c r="H24" s="112"/>
      <c r="I24" s="112"/>
      <c r="J24" s="112"/>
      <c r="K24" s="112"/>
      <c r="L24" s="112"/>
      <c r="M24" s="112"/>
      <c r="N24" s="113"/>
      <c r="O24" s="113">
        <v>1</v>
      </c>
      <c r="P24" s="113">
        <v>1</v>
      </c>
      <c r="Q24" s="113">
        <v>1</v>
      </c>
      <c r="R24" s="113">
        <v>1</v>
      </c>
      <c r="S24" s="110">
        <f t="shared" si="0"/>
        <v>4</v>
      </c>
    </row>
    <row r="25" spans="1:19" ht="242.25" customHeight="1" x14ac:dyDescent="0.25">
      <c r="A25" s="105">
        <v>5</v>
      </c>
      <c r="B25" s="114" t="s">
        <v>113</v>
      </c>
      <c r="C25" s="259" t="s">
        <v>20</v>
      </c>
      <c r="D25" s="260" t="s">
        <v>291</v>
      </c>
      <c r="E25" s="195">
        <v>8</v>
      </c>
      <c r="F25" s="261" t="s">
        <v>38</v>
      </c>
      <c r="G25" s="195"/>
      <c r="H25" s="195"/>
      <c r="I25" s="195"/>
      <c r="J25" s="195"/>
      <c r="K25" s="195"/>
      <c r="L25" s="195"/>
      <c r="M25" s="195"/>
      <c r="N25" s="195"/>
      <c r="O25" s="195">
        <v>2</v>
      </c>
      <c r="P25" s="195">
        <v>2</v>
      </c>
      <c r="Q25" s="195">
        <v>2</v>
      </c>
      <c r="R25" s="195">
        <v>2</v>
      </c>
      <c r="S25" s="262">
        <f t="shared" si="0"/>
        <v>8</v>
      </c>
    </row>
    <row r="26" spans="1:19" ht="343.8" thickBot="1" x14ac:dyDescent="0.35">
      <c r="A26" s="105"/>
      <c r="B26" s="117"/>
      <c r="C26" s="106" t="s">
        <v>21</v>
      </c>
      <c r="D26" s="120" t="s">
        <v>114</v>
      </c>
      <c r="E26" s="113">
        <v>4</v>
      </c>
      <c r="F26" s="108" t="s">
        <v>38</v>
      </c>
      <c r="G26" s="112"/>
      <c r="H26" s="112"/>
      <c r="I26" s="112"/>
      <c r="J26" s="112"/>
      <c r="K26" s="112"/>
      <c r="L26" s="112"/>
      <c r="M26" s="112"/>
      <c r="N26" s="113"/>
      <c r="O26" s="113">
        <v>1</v>
      </c>
      <c r="P26" s="113">
        <v>1</v>
      </c>
      <c r="Q26" s="113">
        <v>1</v>
      </c>
      <c r="R26" s="113">
        <v>1</v>
      </c>
      <c r="S26" s="110">
        <f t="shared" si="0"/>
        <v>4</v>
      </c>
    </row>
    <row r="27" spans="1:19" ht="250.2" thickBot="1" x14ac:dyDescent="0.3">
      <c r="A27" s="105">
        <v>6</v>
      </c>
      <c r="B27" s="291" t="s">
        <v>92</v>
      </c>
      <c r="C27" s="106" t="s">
        <v>20</v>
      </c>
      <c r="D27" s="122" t="s">
        <v>220</v>
      </c>
      <c r="E27" s="113">
        <v>2</v>
      </c>
      <c r="F27" s="108" t="s">
        <v>40</v>
      </c>
      <c r="G27" s="112"/>
      <c r="H27" s="112"/>
      <c r="I27" s="112"/>
      <c r="J27" s="112"/>
      <c r="K27" s="112"/>
      <c r="L27" s="112"/>
      <c r="M27" s="112"/>
      <c r="N27" s="113"/>
      <c r="O27" s="113">
        <v>1</v>
      </c>
      <c r="P27" s="113"/>
      <c r="Q27" s="113"/>
      <c r="R27" s="113">
        <v>1</v>
      </c>
      <c r="S27" s="110">
        <f t="shared" si="0"/>
        <v>2</v>
      </c>
    </row>
    <row r="28" spans="1:19" ht="114" customHeight="1" x14ac:dyDescent="0.25">
      <c r="A28" s="105"/>
      <c r="B28" s="293"/>
      <c r="C28" s="106" t="s">
        <v>21</v>
      </c>
      <c r="D28" s="121" t="s">
        <v>221</v>
      </c>
      <c r="E28" s="113">
        <v>2</v>
      </c>
      <c r="F28" s="108" t="s">
        <v>228</v>
      </c>
      <c r="G28" s="112"/>
      <c r="H28" s="112"/>
      <c r="I28" s="112"/>
      <c r="J28" s="112"/>
      <c r="K28" s="112"/>
      <c r="L28" s="112"/>
      <c r="M28" s="112"/>
      <c r="N28" s="113"/>
      <c r="O28" s="113"/>
      <c r="P28" s="113"/>
      <c r="Q28" s="113">
        <v>1</v>
      </c>
      <c r="R28" s="113">
        <v>1</v>
      </c>
      <c r="S28" s="110">
        <f t="shared" si="0"/>
        <v>2</v>
      </c>
    </row>
    <row r="29" spans="1:19" ht="327.60000000000002" x14ac:dyDescent="0.25">
      <c r="A29" s="105">
        <v>7</v>
      </c>
      <c r="B29" s="114" t="s">
        <v>93</v>
      </c>
      <c r="C29" s="106" t="s">
        <v>20</v>
      </c>
      <c r="D29" s="107" t="s">
        <v>310</v>
      </c>
      <c r="E29" s="113">
        <v>1</v>
      </c>
      <c r="F29" s="108" t="s">
        <v>39</v>
      </c>
      <c r="G29" s="112"/>
      <c r="H29" s="112"/>
      <c r="I29" s="112"/>
      <c r="J29" s="112"/>
      <c r="K29" s="112"/>
      <c r="L29" s="112"/>
      <c r="M29" s="112"/>
      <c r="N29" s="113"/>
      <c r="O29" s="113"/>
      <c r="P29" s="113">
        <v>1</v>
      </c>
      <c r="Q29" s="113"/>
      <c r="R29" s="113"/>
      <c r="S29" s="110">
        <f t="shared" si="0"/>
        <v>1</v>
      </c>
    </row>
    <row r="30" spans="1:19" ht="234" x14ac:dyDescent="0.25">
      <c r="A30" s="105">
        <v>8</v>
      </c>
      <c r="B30" s="114" t="s">
        <v>95</v>
      </c>
      <c r="C30" s="106" t="s">
        <v>20</v>
      </c>
      <c r="D30" s="107" t="s">
        <v>115</v>
      </c>
      <c r="E30" s="113">
        <v>1</v>
      </c>
      <c r="F30" s="108" t="s">
        <v>38</v>
      </c>
      <c r="G30" s="112"/>
      <c r="H30" s="112"/>
      <c r="I30" s="112"/>
      <c r="J30" s="112"/>
      <c r="K30" s="112"/>
      <c r="L30" s="112"/>
      <c r="M30" s="112"/>
      <c r="N30" s="113"/>
      <c r="O30" s="113"/>
      <c r="P30" s="113"/>
      <c r="Q30" s="113">
        <v>1</v>
      </c>
      <c r="R30" s="113"/>
      <c r="S30" s="110">
        <f t="shared" si="0"/>
        <v>1</v>
      </c>
    </row>
    <row r="31" spans="1:19" ht="124.8" x14ac:dyDescent="0.25">
      <c r="A31" s="296">
        <v>9</v>
      </c>
      <c r="B31" s="294" t="s">
        <v>96</v>
      </c>
      <c r="C31" s="106" t="s">
        <v>20</v>
      </c>
      <c r="D31" s="107" t="s">
        <v>44</v>
      </c>
      <c r="E31" s="113">
        <v>1</v>
      </c>
      <c r="F31" s="108" t="s">
        <v>39</v>
      </c>
      <c r="G31" s="112"/>
      <c r="H31" s="112"/>
      <c r="I31" s="112"/>
      <c r="J31" s="112"/>
      <c r="K31" s="112"/>
      <c r="L31" s="112"/>
      <c r="M31" s="112"/>
      <c r="N31" s="113"/>
      <c r="O31" s="113"/>
      <c r="P31" s="113">
        <v>1</v>
      </c>
      <c r="Q31" s="113"/>
      <c r="R31" s="113"/>
      <c r="S31" s="110">
        <f t="shared" si="0"/>
        <v>1</v>
      </c>
    </row>
    <row r="32" spans="1:19" ht="156" x14ac:dyDescent="0.25">
      <c r="A32" s="297"/>
      <c r="B32" s="295"/>
      <c r="C32" s="106" t="s">
        <v>21</v>
      </c>
      <c r="D32" s="114" t="s">
        <v>116</v>
      </c>
      <c r="E32" s="113">
        <v>2</v>
      </c>
      <c r="F32" s="108" t="s">
        <v>45</v>
      </c>
      <c r="G32" s="112"/>
      <c r="H32" s="112"/>
      <c r="I32" s="112"/>
      <c r="J32" s="112"/>
      <c r="K32" s="112"/>
      <c r="L32" s="112"/>
      <c r="M32" s="112"/>
      <c r="N32" s="113"/>
      <c r="O32" s="113">
        <v>1</v>
      </c>
      <c r="P32" s="113"/>
      <c r="Q32" s="113"/>
      <c r="R32" s="113">
        <v>1</v>
      </c>
      <c r="S32" s="110">
        <f t="shared" si="0"/>
        <v>2</v>
      </c>
    </row>
    <row r="33" spans="1:19" ht="249.6" x14ac:dyDescent="0.25">
      <c r="A33" s="297"/>
      <c r="B33" s="295"/>
      <c r="C33" s="106" t="s">
        <v>22</v>
      </c>
      <c r="D33" s="107" t="s">
        <v>46</v>
      </c>
      <c r="E33" s="113">
        <v>10</v>
      </c>
      <c r="F33" s="108" t="s">
        <v>40</v>
      </c>
      <c r="G33" s="112"/>
      <c r="H33" s="112"/>
      <c r="I33" s="112"/>
      <c r="J33" s="112"/>
      <c r="K33" s="112"/>
      <c r="L33" s="112"/>
      <c r="M33" s="112"/>
      <c r="N33" s="113"/>
      <c r="O33" s="113">
        <v>3</v>
      </c>
      <c r="P33" s="113">
        <v>3</v>
      </c>
      <c r="Q33" s="113">
        <v>2</v>
      </c>
      <c r="R33" s="113">
        <v>2</v>
      </c>
      <c r="S33" s="110">
        <f t="shared" si="0"/>
        <v>10</v>
      </c>
    </row>
    <row r="34" spans="1:19" ht="93.6" x14ac:dyDescent="0.25">
      <c r="A34" s="297"/>
      <c r="B34" s="295"/>
      <c r="C34" s="106" t="s">
        <v>23</v>
      </c>
      <c r="D34" s="107" t="s">
        <v>48</v>
      </c>
      <c r="E34" s="113">
        <v>1</v>
      </c>
      <c r="F34" s="108" t="s">
        <v>40</v>
      </c>
      <c r="G34" s="112"/>
      <c r="H34" s="112"/>
      <c r="I34" s="112"/>
      <c r="J34" s="112"/>
      <c r="K34" s="112"/>
      <c r="L34" s="112"/>
      <c r="M34" s="112"/>
      <c r="N34" s="113"/>
      <c r="O34" s="113"/>
      <c r="P34" s="113"/>
      <c r="Q34" s="113"/>
      <c r="R34" s="113">
        <v>1</v>
      </c>
      <c r="S34" s="110">
        <f t="shared" si="0"/>
        <v>1</v>
      </c>
    </row>
    <row r="35" spans="1:19" ht="309" customHeight="1" x14ac:dyDescent="0.25">
      <c r="A35" s="297"/>
      <c r="B35" s="295"/>
      <c r="C35" s="106" t="s">
        <v>24</v>
      </c>
      <c r="D35" s="107" t="s">
        <v>98</v>
      </c>
      <c r="E35" s="113">
        <v>1</v>
      </c>
      <c r="F35" s="108" t="s">
        <v>39</v>
      </c>
      <c r="G35" s="112"/>
      <c r="H35" s="112"/>
      <c r="I35" s="112"/>
      <c r="J35" s="112"/>
      <c r="K35" s="112"/>
      <c r="L35" s="112"/>
      <c r="M35" s="112"/>
      <c r="N35" s="113"/>
      <c r="O35" s="113"/>
      <c r="P35" s="113"/>
      <c r="Q35" s="113"/>
      <c r="R35" s="113">
        <v>1</v>
      </c>
      <c r="S35" s="110">
        <f t="shared" si="0"/>
        <v>1</v>
      </c>
    </row>
    <row r="36" spans="1:19" ht="151.5" customHeight="1" x14ac:dyDescent="0.25">
      <c r="A36" s="297"/>
      <c r="B36" s="295"/>
      <c r="C36" s="106" t="s">
        <v>25</v>
      </c>
      <c r="D36" s="107" t="s">
        <v>99</v>
      </c>
      <c r="E36" s="113">
        <v>30</v>
      </c>
      <c r="F36" s="108" t="s">
        <v>100</v>
      </c>
      <c r="G36" s="112"/>
      <c r="H36" s="112"/>
      <c r="I36" s="112"/>
      <c r="J36" s="112"/>
      <c r="K36" s="112"/>
      <c r="L36" s="112"/>
      <c r="M36" s="112"/>
      <c r="N36" s="113"/>
      <c r="O36" s="113">
        <v>8</v>
      </c>
      <c r="P36" s="113">
        <v>7</v>
      </c>
      <c r="Q36" s="113">
        <v>7</v>
      </c>
      <c r="R36" s="113">
        <v>8</v>
      </c>
      <c r="S36" s="110">
        <f t="shared" si="0"/>
        <v>30</v>
      </c>
    </row>
    <row r="37" spans="1:19" ht="249.6" x14ac:dyDescent="0.25">
      <c r="A37" s="297"/>
      <c r="B37" s="295"/>
      <c r="C37" s="106" t="s">
        <v>26</v>
      </c>
      <c r="D37" s="107" t="s">
        <v>49</v>
      </c>
      <c r="E37" s="113">
        <v>2</v>
      </c>
      <c r="F37" s="108" t="s">
        <v>39</v>
      </c>
      <c r="G37" s="112"/>
      <c r="H37" s="112"/>
      <c r="I37" s="112"/>
      <c r="J37" s="112"/>
      <c r="K37" s="112"/>
      <c r="L37" s="112"/>
      <c r="M37" s="112"/>
      <c r="N37" s="113"/>
      <c r="O37" s="113">
        <v>1</v>
      </c>
      <c r="P37" s="113"/>
      <c r="Q37" s="113"/>
      <c r="R37" s="113">
        <v>1</v>
      </c>
      <c r="S37" s="110">
        <f t="shared" si="0"/>
        <v>2</v>
      </c>
    </row>
    <row r="38" spans="1:19" ht="62.4" x14ac:dyDescent="0.25">
      <c r="A38" s="297"/>
      <c r="B38" s="295"/>
      <c r="C38" s="106" t="s">
        <v>27</v>
      </c>
      <c r="D38" s="114" t="s">
        <v>223</v>
      </c>
      <c r="E38" s="113">
        <v>1</v>
      </c>
      <c r="F38" s="108" t="s">
        <v>38</v>
      </c>
      <c r="G38" s="112"/>
      <c r="H38" s="112"/>
      <c r="I38" s="112"/>
      <c r="J38" s="112"/>
      <c r="K38" s="112"/>
      <c r="L38" s="112"/>
      <c r="M38" s="112"/>
      <c r="N38" s="113"/>
      <c r="O38" s="113"/>
      <c r="P38" s="113"/>
      <c r="Q38" s="113">
        <v>1</v>
      </c>
      <c r="R38" s="113"/>
      <c r="S38" s="110">
        <f t="shared" si="0"/>
        <v>1</v>
      </c>
    </row>
    <row r="39" spans="1:19" ht="46.8" x14ac:dyDescent="0.25">
      <c r="A39" s="297"/>
      <c r="B39" s="295"/>
      <c r="C39" s="106" t="s">
        <v>28</v>
      </c>
      <c r="D39" s="114" t="s">
        <v>51</v>
      </c>
      <c r="E39" s="113">
        <v>1</v>
      </c>
      <c r="F39" s="108" t="s">
        <v>38</v>
      </c>
      <c r="G39" s="112"/>
      <c r="H39" s="112"/>
      <c r="I39" s="112"/>
      <c r="J39" s="112"/>
      <c r="K39" s="112"/>
      <c r="L39" s="112"/>
      <c r="M39" s="112"/>
      <c r="N39" s="113"/>
      <c r="O39" s="113"/>
      <c r="P39" s="113"/>
      <c r="Q39" s="113">
        <v>1</v>
      </c>
      <c r="R39" s="113"/>
      <c r="S39" s="110">
        <f t="shared" si="0"/>
        <v>1</v>
      </c>
    </row>
    <row r="40" spans="1:19" ht="78" x14ac:dyDescent="0.25">
      <c r="A40" s="297"/>
      <c r="B40" s="295"/>
      <c r="C40" s="106" t="s">
        <v>29</v>
      </c>
      <c r="D40" s="114" t="s">
        <v>52</v>
      </c>
      <c r="E40" s="113">
        <v>1</v>
      </c>
      <c r="F40" s="108" t="s">
        <v>38</v>
      </c>
      <c r="G40" s="112"/>
      <c r="H40" s="112"/>
      <c r="I40" s="112"/>
      <c r="J40" s="112"/>
      <c r="K40" s="112"/>
      <c r="L40" s="112"/>
      <c r="M40" s="112"/>
      <c r="N40" s="113"/>
      <c r="O40" s="113">
        <v>1</v>
      </c>
      <c r="P40" s="113"/>
      <c r="Q40" s="113"/>
      <c r="R40" s="113"/>
      <c r="S40" s="110">
        <f t="shared" si="0"/>
        <v>1</v>
      </c>
    </row>
    <row r="41" spans="1:19" ht="187.2" x14ac:dyDescent="0.25">
      <c r="A41" s="297"/>
      <c r="B41" s="295"/>
      <c r="C41" s="106" t="s">
        <v>30</v>
      </c>
      <c r="D41" s="114" t="s">
        <v>117</v>
      </c>
      <c r="E41" s="113">
        <v>5</v>
      </c>
      <c r="F41" s="108" t="s">
        <v>38</v>
      </c>
      <c r="G41" s="112"/>
      <c r="H41" s="112"/>
      <c r="I41" s="112"/>
      <c r="J41" s="112"/>
      <c r="K41" s="112"/>
      <c r="L41" s="112"/>
      <c r="M41" s="112"/>
      <c r="N41" s="113"/>
      <c r="O41" s="113">
        <v>2</v>
      </c>
      <c r="P41" s="113">
        <v>1</v>
      </c>
      <c r="Q41" s="113">
        <v>1</v>
      </c>
      <c r="R41" s="113">
        <v>1</v>
      </c>
      <c r="S41" s="110">
        <f t="shared" si="0"/>
        <v>5</v>
      </c>
    </row>
    <row r="42" spans="1:19" ht="109.2" x14ac:dyDescent="0.25">
      <c r="A42" s="297"/>
      <c r="B42" s="295"/>
      <c r="C42" s="106" t="s">
        <v>31</v>
      </c>
      <c r="D42" s="114" t="s">
        <v>102</v>
      </c>
      <c r="E42" s="113">
        <v>1</v>
      </c>
      <c r="F42" s="108" t="s">
        <v>39</v>
      </c>
      <c r="G42" s="112"/>
      <c r="H42" s="112"/>
      <c r="I42" s="112"/>
      <c r="J42" s="112"/>
      <c r="K42" s="112"/>
      <c r="L42" s="112"/>
      <c r="M42" s="112"/>
      <c r="N42" s="113"/>
      <c r="O42" s="113"/>
      <c r="P42" s="113"/>
      <c r="Q42" s="113"/>
      <c r="R42" s="113">
        <v>1</v>
      </c>
      <c r="S42" s="110">
        <f t="shared" si="0"/>
        <v>1</v>
      </c>
    </row>
    <row r="43" spans="1:19" ht="46.8" x14ac:dyDescent="0.25">
      <c r="A43" s="297"/>
      <c r="B43" s="295"/>
      <c r="C43" s="106" t="s">
        <v>32</v>
      </c>
      <c r="D43" s="114" t="s">
        <v>299</v>
      </c>
      <c r="E43" s="113">
        <v>20</v>
      </c>
      <c r="F43" s="108" t="s">
        <v>101</v>
      </c>
      <c r="G43" s="112"/>
      <c r="H43" s="112"/>
      <c r="I43" s="112"/>
      <c r="J43" s="112"/>
      <c r="K43" s="112"/>
      <c r="L43" s="112"/>
      <c r="M43" s="112"/>
      <c r="N43" s="113"/>
      <c r="O43" s="113">
        <v>5</v>
      </c>
      <c r="P43" s="113">
        <v>5</v>
      </c>
      <c r="Q43" s="113">
        <v>5</v>
      </c>
      <c r="R43" s="113">
        <v>5</v>
      </c>
      <c r="S43" s="110">
        <f>SUM(N43:R43)</f>
        <v>20</v>
      </c>
    </row>
    <row r="44" spans="1:19" ht="93.6" x14ac:dyDescent="0.25">
      <c r="A44" s="297"/>
      <c r="B44" s="295"/>
      <c r="C44" s="106" t="s">
        <v>33</v>
      </c>
      <c r="D44" s="114" t="s">
        <v>118</v>
      </c>
      <c r="E44" s="113">
        <v>5</v>
      </c>
      <c r="F44" s="108" t="s">
        <v>38</v>
      </c>
      <c r="G44" s="112"/>
      <c r="H44" s="112"/>
      <c r="I44" s="112"/>
      <c r="J44" s="112"/>
      <c r="K44" s="112"/>
      <c r="L44" s="112"/>
      <c r="M44" s="112"/>
      <c r="N44" s="113"/>
      <c r="O44" s="113">
        <v>1</v>
      </c>
      <c r="P44" s="113">
        <v>1</v>
      </c>
      <c r="Q44" s="113">
        <v>1</v>
      </c>
      <c r="R44" s="113">
        <v>2</v>
      </c>
      <c r="S44" s="110">
        <f t="shared" si="0"/>
        <v>5</v>
      </c>
    </row>
    <row r="45" spans="1:19" ht="22.5" customHeight="1" x14ac:dyDescent="0.25">
      <c r="A45" s="299" t="s">
        <v>74</v>
      </c>
      <c r="B45" s="300"/>
      <c r="C45" s="300"/>
      <c r="D45" s="301"/>
      <c r="E45" s="113">
        <f>SUM(E10:E44)</f>
        <v>177</v>
      </c>
      <c r="F45" s="113"/>
      <c r="G45" s="113">
        <f t="shared" ref="G45:R45" si="1">SUM(G10:G44)</f>
        <v>0</v>
      </c>
      <c r="H45" s="113">
        <f t="shared" si="1"/>
        <v>0</v>
      </c>
      <c r="I45" s="113">
        <f t="shared" si="1"/>
        <v>0</v>
      </c>
      <c r="J45" s="113">
        <f t="shared" si="1"/>
        <v>0</v>
      </c>
      <c r="K45" s="113">
        <f t="shared" si="1"/>
        <v>0</v>
      </c>
      <c r="L45" s="113">
        <f t="shared" si="1"/>
        <v>0</v>
      </c>
      <c r="M45" s="113">
        <f t="shared" si="1"/>
        <v>0</v>
      </c>
      <c r="N45" s="113">
        <f t="shared" si="1"/>
        <v>0</v>
      </c>
      <c r="O45" s="113">
        <f t="shared" si="1"/>
        <v>48</v>
      </c>
      <c r="P45" s="113">
        <f t="shared" si="1"/>
        <v>39</v>
      </c>
      <c r="Q45" s="113">
        <f t="shared" si="1"/>
        <v>46</v>
      </c>
      <c r="R45" s="113">
        <f t="shared" si="1"/>
        <v>44</v>
      </c>
      <c r="S45" s="113">
        <f>SUM(S10:S44)</f>
        <v>177</v>
      </c>
    </row>
    <row r="46" spans="1:19" x14ac:dyDescent="0.25">
      <c r="D46" s="96"/>
    </row>
    <row r="47" spans="1:19" x14ac:dyDescent="0.25">
      <c r="D47" s="96"/>
      <c r="E47" s="371"/>
      <c r="O47" s="302" t="s">
        <v>327</v>
      </c>
      <c r="P47" s="302"/>
      <c r="Q47" s="302"/>
      <c r="R47" s="302"/>
      <c r="S47" s="302"/>
    </row>
    <row r="48" spans="1:19" x14ac:dyDescent="0.25">
      <c r="D48" s="96"/>
      <c r="O48" s="298" t="s">
        <v>54</v>
      </c>
      <c r="P48" s="298"/>
      <c r="Q48" s="298"/>
      <c r="R48" s="298"/>
      <c r="S48" s="298"/>
    </row>
    <row r="49" spans="2:19" x14ac:dyDescent="0.25">
      <c r="B49" s="298" t="s">
        <v>317</v>
      </c>
      <c r="C49" s="298"/>
      <c r="D49" s="298"/>
      <c r="E49" s="298"/>
      <c r="N49" s="252">
        <f>29/34</f>
        <v>0.8529411764705882</v>
      </c>
      <c r="O49" s="298" t="s">
        <v>119</v>
      </c>
      <c r="P49" s="298"/>
      <c r="Q49" s="298"/>
      <c r="R49" s="298"/>
      <c r="S49" s="298"/>
    </row>
    <row r="50" spans="2:19" x14ac:dyDescent="0.25">
      <c r="D50" s="96"/>
    </row>
    <row r="51" spans="2:19" x14ac:dyDescent="0.25">
      <c r="D51" s="96"/>
    </row>
    <row r="52" spans="2:19" x14ac:dyDescent="0.25">
      <c r="B52" s="298" t="str">
        <f>CARIK!B46</f>
        <v>SUNARDI</v>
      </c>
      <c r="C52" s="298"/>
      <c r="D52" s="298"/>
      <c r="E52" s="298"/>
      <c r="O52" s="298" t="str">
        <f>D3</f>
        <v>SUMARDI</v>
      </c>
      <c r="P52" s="298"/>
      <c r="Q52" s="298"/>
      <c r="R52" s="298"/>
      <c r="S52" s="298"/>
    </row>
  </sheetData>
  <mergeCells count="24">
    <mergeCell ref="B27:B28"/>
    <mergeCell ref="B31:B44"/>
    <mergeCell ref="A31:A44"/>
    <mergeCell ref="B52:E52"/>
    <mergeCell ref="O52:S52"/>
    <mergeCell ref="A45:D45"/>
    <mergeCell ref="O47:S47"/>
    <mergeCell ref="O48:S48"/>
    <mergeCell ref="B49:E49"/>
    <mergeCell ref="O49:S49"/>
    <mergeCell ref="E8:F8"/>
    <mergeCell ref="E9:F9"/>
    <mergeCell ref="A11:A12"/>
    <mergeCell ref="A16:A24"/>
    <mergeCell ref="B16:B24"/>
    <mergeCell ref="B10:B12"/>
    <mergeCell ref="A1:S1"/>
    <mergeCell ref="A6:A7"/>
    <mergeCell ref="B6:B7"/>
    <mergeCell ref="C6:C7"/>
    <mergeCell ref="D6:D7"/>
    <mergeCell ref="E6:F7"/>
    <mergeCell ref="G6:R6"/>
    <mergeCell ref="S6:S7"/>
  </mergeCells>
  <pageMargins left="0.23622047244094491" right="0.23622047244094491" top="0.94488188976377963" bottom="0.94488188976377963" header="0.31496062992125984" footer="0.31496062992125984"/>
  <pageSetup paperSize="14" scale="88" fitToHeight="8" orientation="portrait" r:id="rId1"/>
  <headerFooter>
    <oddHeader>Page &amp;P</oddHeader>
  </headerFooter>
  <rowBreaks count="2" manualBreakCount="2">
    <brk id="19" max="16383" man="1"/>
    <brk id="41" max="16383"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S49"/>
  <sheetViews>
    <sheetView tabSelected="1" view="pageBreakPreview" zoomScale="115" zoomScaleNormal="100" workbookViewId="0">
      <selection activeCell="Q11" sqref="Q11"/>
    </sheetView>
  </sheetViews>
  <sheetFormatPr defaultColWidth="9.109375" defaultRowHeight="13.8" x14ac:dyDescent="0.25"/>
  <cols>
    <col min="1" max="1" width="5" style="92" customWidth="1"/>
    <col min="2" max="2" width="16.33203125" style="157" customWidth="1"/>
    <col min="3" max="3" width="5.5546875" style="208" customWidth="1"/>
    <col min="4" max="4" width="36" style="157" customWidth="1"/>
    <col min="5" max="5" width="6.33203125" style="92" customWidth="1"/>
    <col min="6" max="6" width="12.5546875" style="92" customWidth="1"/>
    <col min="7" max="14" width="8.6640625" style="92" hidden="1" customWidth="1"/>
    <col min="15" max="18" width="8.6640625" style="92" customWidth="1"/>
    <col min="19" max="19" width="9" style="92" customWidth="1"/>
    <col min="20" max="16384" width="9.109375" style="92"/>
  </cols>
  <sheetData>
    <row r="1" spans="1:19" x14ac:dyDescent="0.25">
      <c r="A1" s="372" t="s">
        <v>0</v>
      </c>
      <c r="B1" s="372"/>
      <c r="C1" s="372"/>
      <c r="D1" s="372"/>
      <c r="E1" s="372"/>
      <c r="F1" s="372"/>
      <c r="G1" s="372"/>
      <c r="H1" s="372"/>
      <c r="I1" s="372"/>
      <c r="J1" s="372"/>
      <c r="K1" s="372"/>
      <c r="L1" s="372"/>
      <c r="M1" s="372"/>
      <c r="N1" s="372"/>
      <c r="O1" s="372"/>
      <c r="P1" s="372"/>
      <c r="Q1" s="372"/>
      <c r="R1" s="372"/>
      <c r="S1" s="372"/>
    </row>
    <row r="2" spans="1:19" x14ac:dyDescent="0.25">
      <c r="A2" s="207"/>
      <c r="B2" s="207"/>
      <c r="C2" s="207"/>
      <c r="D2" s="207"/>
      <c r="E2" s="125"/>
      <c r="F2" s="207"/>
      <c r="G2" s="207"/>
      <c r="H2" s="207"/>
      <c r="I2" s="207"/>
      <c r="J2" s="207"/>
      <c r="K2" s="207"/>
      <c r="L2" s="207"/>
      <c r="M2" s="207"/>
      <c r="N2" s="207"/>
      <c r="O2" s="207"/>
      <c r="P2" s="207"/>
      <c r="Q2" s="207"/>
      <c r="R2" s="207"/>
      <c r="S2" s="207"/>
    </row>
    <row r="3" spans="1:19" x14ac:dyDescent="0.25">
      <c r="A3" s="207"/>
      <c r="B3" s="206"/>
      <c r="C3" s="207"/>
      <c r="D3" s="206"/>
      <c r="E3" s="125"/>
      <c r="F3" s="207"/>
      <c r="G3" s="207"/>
      <c r="H3" s="207"/>
      <c r="I3" s="207"/>
      <c r="J3" s="207"/>
      <c r="K3" s="207"/>
      <c r="L3" s="207"/>
      <c r="M3" s="207"/>
      <c r="N3" s="207"/>
      <c r="O3" s="207"/>
      <c r="P3" s="207"/>
      <c r="Q3" s="207"/>
      <c r="R3" s="207"/>
      <c r="S3" s="207"/>
    </row>
    <row r="4" spans="1:19" x14ac:dyDescent="0.25">
      <c r="A4" s="208" t="s">
        <v>1</v>
      </c>
      <c r="C4" s="208" t="s">
        <v>318</v>
      </c>
      <c r="D4" s="157" t="s">
        <v>322</v>
      </c>
      <c r="E4" s="208"/>
      <c r="F4" s="208"/>
      <c r="G4" s="208"/>
      <c r="H4" s="208"/>
      <c r="I4" s="208"/>
      <c r="J4" s="208"/>
      <c r="K4" s="208"/>
      <c r="L4" s="208"/>
      <c r="M4" s="208"/>
      <c r="N4" s="208"/>
      <c r="O4" s="208"/>
      <c r="P4" s="208"/>
      <c r="Q4" s="208"/>
      <c r="R4" s="208"/>
      <c r="S4" s="208"/>
    </row>
    <row r="5" spans="1:19" x14ac:dyDescent="0.25">
      <c r="A5" s="208" t="s">
        <v>2</v>
      </c>
      <c r="C5" s="208" t="s">
        <v>318</v>
      </c>
      <c r="D5" s="157" t="s">
        <v>104</v>
      </c>
      <c r="E5" s="208"/>
      <c r="F5" s="208"/>
      <c r="G5" s="208"/>
      <c r="H5" s="208"/>
      <c r="I5" s="208"/>
      <c r="J5" s="208"/>
      <c r="K5" s="208"/>
      <c r="L5" s="208"/>
      <c r="M5" s="208"/>
      <c r="N5" s="208"/>
      <c r="O5" s="208"/>
      <c r="P5" s="208"/>
      <c r="Q5" s="208"/>
      <c r="R5" s="208"/>
      <c r="S5" s="208"/>
    </row>
    <row r="6" spans="1:19" x14ac:dyDescent="0.25">
      <c r="A6" s="208"/>
      <c r="E6" s="208"/>
      <c r="F6" s="208"/>
      <c r="G6" s="208"/>
      <c r="H6" s="208"/>
      <c r="I6" s="208"/>
      <c r="J6" s="208"/>
      <c r="K6" s="208"/>
      <c r="L6" s="208"/>
      <c r="M6" s="208"/>
      <c r="N6" s="208"/>
      <c r="O6" s="208"/>
      <c r="P6" s="208"/>
      <c r="Q6" s="208"/>
      <c r="R6" s="208"/>
      <c r="S6" s="208"/>
    </row>
    <row r="7" spans="1:19" s="118" customFormat="1" x14ac:dyDescent="0.25">
      <c r="A7" s="373" t="s">
        <v>3</v>
      </c>
      <c r="B7" s="373" t="s">
        <v>4</v>
      </c>
      <c r="C7" s="373"/>
      <c r="D7" s="373" t="s">
        <v>5</v>
      </c>
      <c r="E7" s="373" t="s">
        <v>6</v>
      </c>
      <c r="F7" s="373"/>
      <c r="G7" s="374"/>
      <c r="H7" s="374"/>
      <c r="I7" s="374"/>
      <c r="J7" s="374"/>
      <c r="K7" s="374"/>
      <c r="L7" s="374"/>
      <c r="M7" s="374"/>
      <c r="N7" s="374"/>
      <c r="O7" s="374"/>
      <c r="P7" s="374"/>
      <c r="Q7" s="374"/>
      <c r="R7" s="374"/>
      <c r="S7" s="373" t="s">
        <v>7</v>
      </c>
    </row>
    <row r="8" spans="1:19" s="118" customFormat="1" x14ac:dyDescent="0.25">
      <c r="A8" s="373"/>
      <c r="B8" s="373"/>
      <c r="C8" s="373"/>
      <c r="D8" s="373"/>
      <c r="E8" s="373"/>
      <c r="F8" s="373"/>
      <c r="G8" s="374" t="s">
        <v>8</v>
      </c>
      <c r="H8" s="374" t="s">
        <v>9</v>
      </c>
      <c r="I8" s="374" t="s">
        <v>10</v>
      </c>
      <c r="J8" s="374" t="s">
        <v>11</v>
      </c>
      <c r="K8" s="374" t="s">
        <v>12</v>
      </c>
      <c r="L8" s="374" t="s">
        <v>13</v>
      </c>
      <c r="M8" s="374" t="s">
        <v>14</v>
      </c>
      <c r="N8" s="374" t="s">
        <v>15</v>
      </c>
      <c r="O8" s="374" t="s">
        <v>16</v>
      </c>
      <c r="P8" s="374" t="s">
        <v>17</v>
      </c>
      <c r="Q8" s="374" t="s">
        <v>18</v>
      </c>
      <c r="R8" s="374" t="s">
        <v>19</v>
      </c>
      <c r="S8" s="373"/>
    </row>
    <row r="9" spans="1:19" s="209" customFormat="1" ht="12" x14ac:dyDescent="0.25">
      <c r="A9" s="375" t="s">
        <v>20</v>
      </c>
      <c r="B9" s="375" t="s">
        <v>21</v>
      </c>
      <c r="C9" s="375"/>
      <c r="D9" s="375" t="s">
        <v>22</v>
      </c>
      <c r="E9" s="376" t="s">
        <v>23</v>
      </c>
      <c r="F9" s="376"/>
      <c r="G9" s="375" t="s">
        <v>24</v>
      </c>
      <c r="H9" s="375" t="s">
        <v>25</v>
      </c>
      <c r="I9" s="375" t="s">
        <v>26</v>
      </c>
      <c r="J9" s="375" t="s">
        <v>27</v>
      </c>
      <c r="K9" s="375" t="s">
        <v>28</v>
      </c>
      <c r="L9" s="375" t="s">
        <v>29</v>
      </c>
      <c r="M9" s="375" t="s">
        <v>30</v>
      </c>
      <c r="N9" s="375" t="s">
        <v>31</v>
      </c>
      <c r="O9" s="375" t="s">
        <v>32</v>
      </c>
      <c r="P9" s="375" t="s">
        <v>33</v>
      </c>
      <c r="Q9" s="375" t="s">
        <v>34</v>
      </c>
      <c r="R9" s="375" t="s">
        <v>35</v>
      </c>
      <c r="S9" s="375" t="s">
        <v>36</v>
      </c>
    </row>
    <row r="10" spans="1:19" x14ac:dyDescent="0.25">
      <c r="A10" s="211"/>
      <c r="B10" s="210"/>
      <c r="C10" s="211"/>
      <c r="D10" s="210"/>
      <c r="E10" s="377"/>
      <c r="F10" s="377"/>
      <c r="G10" s="211"/>
      <c r="H10" s="211"/>
      <c r="I10" s="211"/>
      <c r="J10" s="211"/>
      <c r="K10" s="211"/>
      <c r="L10" s="211"/>
      <c r="M10" s="211"/>
      <c r="N10" s="211"/>
      <c r="O10" s="211"/>
      <c r="P10" s="211"/>
      <c r="Q10" s="211"/>
      <c r="R10" s="211"/>
      <c r="S10" s="211"/>
    </row>
    <row r="11" spans="1:19" ht="94.5" customHeight="1" x14ac:dyDescent="0.25">
      <c r="A11" s="294">
        <v>1</v>
      </c>
      <c r="B11" s="304" t="s">
        <v>78</v>
      </c>
      <c r="C11" s="264" t="s">
        <v>20</v>
      </c>
      <c r="D11" s="265" t="s">
        <v>79</v>
      </c>
      <c r="E11" s="246">
        <v>2</v>
      </c>
      <c r="F11" s="246" t="s">
        <v>37</v>
      </c>
      <c r="G11" s="378"/>
      <c r="H11" s="378"/>
      <c r="I11" s="378"/>
      <c r="J11" s="378"/>
      <c r="K11" s="378"/>
      <c r="L11" s="378"/>
      <c r="M11" s="378"/>
      <c r="N11" s="378"/>
      <c r="O11" s="378"/>
      <c r="P11" s="378">
        <v>1</v>
      </c>
      <c r="Q11" s="378"/>
      <c r="R11" s="378">
        <v>1</v>
      </c>
      <c r="S11" s="378">
        <f>SUM(N11:R11)</f>
        <v>2</v>
      </c>
    </row>
    <row r="12" spans="1:19" ht="15.6" x14ac:dyDescent="0.25">
      <c r="A12" s="295"/>
      <c r="B12" s="305"/>
      <c r="C12" s="264" t="s">
        <v>21</v>
      </c>
      <c r="D12" s="265" t="s">
        <v>80</v>
      </c>
      <c r="E12" s="246">
        <v>4</v>
      </c>
      <c r="F12" s="246" t="s">
        <v>81</v>
      </c>
      <c r="G12" s="379"/>
      <c r="H12" s="379"/>
      <c r="I12" s="379"/>
      <c r="J12" s="379"/>
      <c r="K12" s="379"/>
      <c r="L12" s="379"/>
      <c r="M12" s="379"/>
      <c r="N12" s="379"/>
      <c r="O12" s="379">
        <v>1</v>
      </c>
      <c r="P12" s="379">
        <v>1</v>
      </c>
      <c r="Q12" s="379">
        <v>1</v>
      </c>
      <c r="R12" s="379">
        <v>1</v>
      </c>
      <c r="S12" s="378">
        <f t="shared" ref="S12:S34" si="0">SUM(N12:R12)</f>
        <v>4</v>
      </c>
    </row>
    <row r="13" spans="1:19" ht="15.6" x14ac:dyDescent="0.25">
      <c r="A13" s="295"/>
      <c r="B13" s="305"/>
      <c r="C13" s="264" t="s">
        <v>22</v>
      </c>
      <c r="D13" s="265" t="s">
        <v>82</v>
      </c>
      <c r="E13" s="246">
        <v>4</v>
      </c>
      <c r="F13" s="246" t="s">
        <v>81</v>
      </c>
      <c r="G13" s="380"/>
      <c r="H13" s="380"/>
      <c r="I13" s="380"/>
      <c r="J13" s="380"/>
      <c r="K13" s="380"/>
      <c r="L13" s="380"/>
      <c r="M13" s="380"/>
      <c r="N13" s="379"/>
      <c r="O13" s="379">
        <v>1</v>
      </c>
      <c r="P13" s="379">
        <v>1</v>
      </c>
      <c r="Q13" s="379">
        <v>1</v>
      </c>
      <c r="R13" s="379">
        <v>1</v>
      </c>
      <c r="S13" s="378">
        <f t="shared" si="0"/>
        <v>4</v>
      </c>
    </row>
    <row r="14" spans="1:19" ht="15.6" x14ac:dyDescent="0.25">
      <c r="A14" s="295"/>
      <c r="B14" s="305"/>
      <c r="C14" s="264" t="s">
        <v>23</v>
      </c>
      <c r="D14" s="265" t="s">
        <v>83</v>
      </c>
      <c r="E14" s="246">
        <v>4</v>
      </c>
      <c r="F14" s="246" t="s">
        <v>81</v>
      </c>
      <c r="G14" s="380"/>
      <c r="H14" s="380"/>
      <c r="I14" s="380"/>
      <c r="J14" s="380"/>
      <c r="K14" s="380"/>
      <c r="L14" s="380"/>
      <c r="M14" s="380"/>
      <c r="N14" s="379"/>
      <c r="O14" s="379">
        <v>1</v>
      </c>
      <c r="P14" s="379">
        <v>1</v>
      </c>
      <c r="Q14" s="379">
        <v>1</v>
      </c>
      <c r="R14" s="379">
        <v>1</v>
      </c>
      <c r="S14" s="378">
        <f t="shared" si="0"/>
        <v>4</v>
      </c>
    </row>
    <row r="15" spans="1:19" ht="15.6" x14ac:dyDescent="0.25">
      <c r="A15" s="295"/>
      <c r="B15" s="305"/>
      <c r="C15" s="264" t="s">
        <v>24</v>
      </c>
      <c r="D15" s="265" t="s">
        <v>84</v>
      </c>
      <c r="E15" s="246">
        <v>4</v>
      </c>
      <c r="F15" s="246" t="s">
        <v>81</v>
      </c>
      <c r="G15" s="380"/>
      <c r="H15" s="380"/>
      <c r="I15" s="380"/>
      <c r="J15" s="380"/>
      <c r="K15" s="380"/>
      <c r="L15" s="380"/>
      <c r="M15" s="380"/>
      <c r="N15" s="379"/>
      <c r="O15" s="379">
        <v>1</v>
      </c>
      <c r="P15" s="379">
        <v>1</v>
      </c>
      <c r="Q15" s="379">
        <v>1</v>
      </c>
      <c r="R15" s="379">
        <v>1</v>
      </c>
      <c r="S15" s="378">
        <f t="shared" si="0"/>
        <v>4</v>
      </c>
    </row>
    <row r="16" spans="1:19" ht="31.2" x14ac:dyDescent="0.25">
      <c r="A16" s="295"/>
      <c r="B16" s="305"/>
      <c r="C16" s="264" t="s">
        <v>25</v>
      </c>
      <c r="D16" s="265" t="s">
        <v>85</v>
      </c>
      <c r="E16" s="246">
        <v>4</v>
      </c>
      <c r="F16" s="246" t="s">
        <v>81</v>
      </c>
      <c r="G16" s="380"/>
      <c r="H16" s="380"/>
      <c r="I16" s="380"/>
      <c r="J16" s="380"/>
      <c r="K16" s="380"/>
      <c r="L16" s="380"/>
      <c r="M16" s="380"/>
      <c r="N16" s="379"/>
      <c r="O16" s="379">
        <v>1</v>
      </c>
      <c r="P16" s="379">
        <v>1</v>
      </c>
      <c r="Q16" s="379">
        <v>1</v>
      </c>
      <c r="R16" s="379">
        <v>1</v>
      </c>
      <c r="S16" s="378">
        <f t="shared" si="0"/>
        <v>4</v>
      </c>
    </row>
    <row r="17" spans="1:19" ht="31.2" x14ac:dyDescent="0.25">
      <c r="A17" s="295"/>
      <c r="B17" s="305"/>
      <c r="C17" s="264" t="s">
        <v>26</v>
      </c>
      <c r="D17" s="265" t="s">
        <v>86</v>
      </c>
      <c r="E17" s="246">
        <v>4</v>
      </c>
      <c r="F17" s="246" t="s">
        <v>81</v>
      </c>
      <c r="G17" s="380"/>
      <c r="H17" s="380"/>
      <c r="I17" s="380"/>
      <c r="J17" s="380"/>
      <c r="K17" s="380"/>
      <c r="L17" s="380"/>
      <c r="M17" s="380"/>
      <c r="N17" s="379"/>
      <c r="O17" s="379">
        <v>1</v>
      </c>
      <c r="P17" s="379">
        <v>1</v>
      </c>
      <c r="Q17" s="379">
        <v>1</v>
      </c>
      <c r="R17" s="379">
        <v>1</v>
      </c>
      <c r="S17" s="378">
        <f t="shared" si="0"/>
        <v>4</v>
      </c>
    </row>
    <row r="18" spans="1:19" ht="167.25" customHeight="1" x14ac:dyDescent="0.25">
      <c r="A18" s="295"/>
      <c r="B18" s="305"/>
      <c r="C18" s="106" t="s">
        <v>27</v>
      </c>
      <c r="D18" s="265" t="s">
        <v>295</v>
      </c>
      <c r="E18" s="246">
        <v>5</v>
      </c>
      <c r="F18" s="246" t="s">
        <v>234</v>
      </c>
      <c r="G18" s="380"/>
      <c r="H18" s="380"/>
      <c r="I18" s="380"/>
      <c r="J18" s="380"/>
      <c r="K18" s="380"/>
      <c r="L18" s="380"/>
      <c r="M18" s="380"/>
      <c r="N18" s="380"/>
      <c r="O18" s="380">
        <v>1</v>
      </c>
      <c r="P18" s="380">
        <v>3</v>
      </c>
      <c r="Q18" s="380"/>
      <c r="R18" s="380">
        <v>1</v>
      </c>
      <c r="S18" s="378">
        <f t="shared" si="0"/>
        <v>5</v>
      </c>
    </row>
    <row r="19" spans="1:19" ht="27.6" x14ac:dyDescent="0.25">
      <c r="A19" s="295"/>
      <c r="B19" s="305"/>
      <c r="C19" s="131" t="s">
        <v>28</v>
      </c>
      <c r="D19" s="223" t="s">
        <v>281</v>
      </c>
      <c r="E19" s="246">
        <v>4</v>
      </c>
      <c r="F19" s="246" t="s">
        <v>81</v>
      </c>
      <c r="G19" s="380"/>
      <c r="H19" s="380"/>
      <c r="I19" s="380"/>
      <c r="J19" s="380"/>
      <c r="K19" s="380"/>
      <c r="L19" s="380"/>
      <c r="M19" s="380"/>
      <c r="N19" s="380"/>
      <c r="O19" s="380">
        <v>1</v>
      </c>
      <c r="P19" s="380">
        <v>1</v>
      </c>
      <c r="Q19" s="380">
        <v>1</v>
      </c>
      <c r="R19" s="380">
        <v>1</v>
      </c>
      <c r="S19" s="378">
        <f>SUM(N19:R19)</f>
        <v>4</v>
      </c>
    </row>
    <row r="20" spans="1:19" ht="69" x14ac:dyDescent="0.25">
      <c r="A20" s="295"/>
      <c r="B20" s="305"/>
      <c r="C20" s="125" t="s">
        <v>29</v>
      </c>
      <c r="D20" s="381" t="s">
        <v>311</v>
      </c>
      <c r="E20" s="263">
        <v>15</v>
      </c>
      <c r="F20" s="382" t="s">
        <v>81</v>
      </c>
      <c r="G20" s="208"/>
      <c r="H20" s="208"/>
      <c r="I20" s="208"/>
      <c r="J20" s="208"/>
      <c r="K20" s="208"/>
      <c r="L20" s="208"/>
      <c r="M20" s="208"/>
      <c r="N20" s="383"/>
      <c r="O20" s="383">
        <v>3</v>
      </c>
      <c r="P20" s="383">
        <v>4</v>
      </c>
      <c r="Q20" s="383">
        <v>4</v>
      </c>
      <c r="R20" s="383">
        <v>4</v>
      </c>
      <c r="S20" s="384">
        <f>SUM(N20:R20)</f>
        <v>15</v>
      </c>
    </row>
    <row r="21" spans="1:19" ht="41.4" x14ac:dyDescent="0.25">
      <c r="A21" s="295"/>
      <c r="B21" s="305"/>
      <c r="C21" s="208" t="s">
        <v>30</v>
      </c>
      <c r="D21" s="385" t="s">
        <v>296</v>
      </c>
      <c r="E21" s="131">
        <v>4</v>
      </c>
      <c r="F21" s="131" t="s">
        <v>228</v>
      </c>
      <c r="G21" s="131"/>
      <c r="H21" s="131"/>
      <c r="I21" s="131"/>
      <c r="J21" s="131"/>
      <c r="K21" s="131"/>
      <c r="L21" s="131"/>
      <c r="M21" s="131"/>
      <c r="N21" s="131"/>
      <c r="O21" s="131">
        <v>1</v>
      </c>
      <c r="P21" s="131">
        <v>1</v>
      </c>
      <c r="Q21" s="131">
        <v>1</v>
      </c>
      <c r="R21" s="131">
        <v>1</v>
      </c>
      <c r="S21" s="131">
        <f>SUM(N21:R21)</f>
        <v>4</v>
      </c>
    </row>
    <row r="22" spans="1:19" ht="55.2" x14ac:dyDescent="0.25">
      <c r="A22" s="295"/>
      <c r="B22" s="305"/>
      <c r="C22" s="208" t="s">
        <v>31</v>
      </c>
      <c r="D22" s="385" t="s">
        <v>302</v>
      </c>
      <c r="E22" s="386">
        <v>32</v>
      </c>
      <c r="F22" s="386" t="s">
        <v>101</v>
      </c>
      <c r="G22" s="387"/>
      <c r="H22" s="387"/>
      <c r="I22" s="387"/>
      <c r="J22" s="387"/>
      <c r="K22" s="387"/>
      <c r="L22" s="387"/>
      <c r="M22" s="387"/>
      <c r="N22" s="387"/>
      <c r="O22" s="387">
        <v>8</v>
      </c>
      <c r="P22" s="387">
        <v>8</v>
      </c>
      <c r="Q22" s="387">
        <v>8</v>
      </c>
      <c r="R22" s="387">
        <v>8</v>
      </c>
      <c r="S22" s="387">
        <f>SUM(N22:R22)</f>
        <v>32</v>
      </c>
    </row>
    <row r="23" spans="1:19" ht="41.4" x14ac:dyDescent="0.25">
      <c r="A23" s="307"/>
      <c r="B23" s="306"/>
      <c r="D23" s="385" t="s">
        <v>298</v>
      </c>
      <c r="E23" s="131">
        <v>10</v>
      </c>
      <c r="F23" s="388" t="s">
        <v>101</v>
      </c>
      <c r="G23" s="388"/>
      <c r="H23" s="388"/>
      <c r="I23" s="388"/>
      <c r="J23" s="388"/>
      <c r="K23" s="388"/>
      <c r="L23" s="388"/>
      <c r="M23" s="388"/>
      <c r="N23" s="388"/>
      <c r="O23" s="388">
        <v>3</v>
      </c>
      <c r="P23" s="388">
        <v>2</v>
      </c>
      <c r="Q23" s="388">
        <v>2</v>
      </c>
      <c r="R23" s="388">
        <v>3</v>
      </c>
      <c r="S23" s="388">
        <f>SUM(N23:R23)</f>
        <v>10</v>
      </c>
    </row>
    <row r="24" spans="1:19" ht="57.75" customHeight="1" x14ac:dyDescent="0.25">
      <c r="A24" s="290">
        <v>2</v>
      </c>
      <c r="B24" s="303" t="s">
        <v>87</v>
      </c>
      <c r="C24" s="264" t="s">
        <v>20</v>
      </c>
      <c r="D24" s="265" t="s">
        <v>88</v>
      </c>
      <c r="E24" s="246">
        <v>4</v>
      </c>
      <c r="F24" s="246" t="s">
        <v>81</v>
      </c>
      <c r="G24" s="380"/>
      <c r="H24" s="380"/>
      <c r="I24" s="380"/>
      <c r="J24" s="380"/>
      <c r="K24" s="380"/>
      <c r="L24" s="380"/>
      <c r="M24" s="380"/>
      <c r="N24" s="380"/>
      <c r="O24" s="380">
        <v>1</v>
      </c>
      <c r="P24" s="380">
        <v>1</v>
      </c>
      <c r="Q24" s="380">
        <v>1</v>
      </c>
      <c r="R24" s="380">
        <v>1</v>
      </c>
      <c r="S24" s="378">
        <f t="shared" si="0"/>
        <v>4</v>
      </c>
    </row>
    <row r="25" spans="1:19" ht="57.75" customHeight="1" x14ac:dyDescent="0.25">
      <c r="A25" s="290"/>
      <c r="B25" s="303"/>
      <c r="C25" s="264" t="s">
        <v>21</v>
      </c>
      <c r="D25" s="265" t="s">
        <v>89</v>
      </c>
      <c r="E25" s="246">
        <v>1</v>
      </c>
      <c r="F25" s="246" t="s">
        <v>38</v>
      </c>
      <c r="G25" s="380"/>
      <c r="H25" s="380"/>
      <c r="I25" s="380"/>
      <c r="J25" s="380"/>
      <c r="K25" s="380"/>
      <c r="L25" s="380"/>
      <c r="M25" s="380"/>
      <c r="N25" s="380"/>
      <c r="O25" s="380"/>
      <c r="P25" s="380"/>
      <c r="Q25" s="380"/>
      <c r="R25" s="380">
        <v>1</v>
      </c>
      <c r="S25" s="378">
        <f t="shared" si="0"/>
        <v>1</v>
      </c>
    </row>
    <row r="26" spans="1:19" ht="57.75" customHeight="1" x14ac:dyDescent="0.25">
      <c r="A26" s="290"/>
      <c r="B26" s="303"/>
      <c r="C26" s="264" t="s">
        <v>22</v>
      </c>
      <c r="D26" s="265" t="s">
        <v>90</v>
      </c>
      <c r="E26" s="246">
        <v>1</v>
      </c>
      <c r="F26" s="246" t="s">
        <v>38</v>
      </c>
      <c r="G26" s="380"/>
      <c r="H26" s="380"/>
      <c r="I26" s="380"/>
      <c r="J26" s="380"/>
      <c r="K26" s="380"/>
      <c r="L26" s="380"/>
      <c r="M26" s="380"/>
      <c r="N26" s="380"/>
      <c r="O26" s="380"/>
      <c r="P26" s="380"/>
      <c r="Q26" s="380"/>
      <c r="R26" s="380">
        <v>1</v>
      </c>
      <c r="S26" s="378">
        <f t="shared" si="0"/>
        <v>1</v>
      </c>
    </row>
    <row r="27" spans="1:19" ht="393" customHeight="1" x14ac:dyDescent="0.25">
      <c r="A27" s="117">
        <v>3</v>
      </c>
      <c r="B27" s="265" t="s">
        <v>91</v>
      </c>
      <c r="C27" s="264" t="s">
        <v>20</v>
      </c>
      <c r="D27" s="265" t="s">
        <v>283</v>
      </c>
      <c r="E27" s="265">
        <v>2</v>
      </c>
      <c r="F27" s="246" t="s">
        <v>101</v>
      </c>
      <c r="G27" s="380"/>
      <c r="H27" s="380"/>
      <c r="I27" s="380"/>
      <c r="J27" s="380"/>
      <c r="K27" s="380"/>
      <c r="L27" s="380"/>
      <c r="M27" s="380"/>
      <c r="N27" s="380"/>
      <c r="O27" s="380"/>
      <c r="P27" s="380">
        <v>2</v>
      </c>
      <c r="Q27" s="380"/>
      <c r="R27" s="380"/>
      <c r="S27" s="378">
        <f t="shared" si="0"/>
        <v>2</v>
      </c>
    </row>
    <row r="28" spans="1:19" ht="234" x14ac:dyDescent="0.25">
      <c r="A28" s="117">
        <v>4</v>
      </c>
      <c r="B28" s="216" t="s">
        <v>92</v>
      </c>
      <c r="C28" s="180" t="s">
        <v>20</v>
      </c>
      <c r="D28" s="216" t="s">
        <v>297</v>
      </c>
      <c r="E28" s="389">
        <v>6</v>
      </c>
      <c r="F28" s="389" t="s">
        <v>47</v>
      </c>
      <c r="G28" s="390"/>
      <c r="H28" s="390"/>
      <c r="I28" s="390"/>
      <c r="J28" s="390"/>
      <c r="K28" s="390"/>
      <c r="L28" s="390"/>
      <c r="M28" s="390"/>
      <c r="N28" s="390"/>
      <c r="O28" s="390">
        <v>2</v>
      </c>
      <c r="P28" s="390"/>
      <c r="Q28" s="390">
        <v>2</v>
      </c>
      <c r="R28" s="390">
        <v>2</v>
      </c>
      <c r="S28" s="391">
        <f t="shared" si="0"/>
        <v>6</v>
      </c>
    </row>
    <row r="29" spans="1:19" ht="135.75" customHeight="1" x14ac:dyDescent="0.25">
      <c r="A29" s="117">
        <v>5</v>
      </c>
      <c r="B29" s="216" t="s">
        <v>93</v>
      </c>
      <c r="C29" s="180" t="s">
        <v>21</v>
      </c>
      <c r="D29" s="216" t="s">
        <v>94</v>
      </c>
      <c r="E29" s="389">
        <v>1</v>
      </c>
      <c r="F29" s="389" t="s">
        <v>39</v>
      </c>
      <c r="G29" s="390"/>
      <c r="H29" s="390"/>
      <c r="I29" s="390"/>
      <c r="J29" s="390"/>
      <c r="K29" s="390"/>
      <c r="L29" s="390"/>
      <c r="M29" s="390"/>
      <c r="N29" s="390"/>
      <c r="O29" s="390">
        <v>1</v>
      </c>
      <c r="P29" s="390"/>
      <c r="Q29" s="390"/>
      <c r="R29" s="390"/>
      <c r="S29" s="391">
        <f t="shared" si="0"/>
        <v>1</v>
      </c>
    </row>
    <row r="30" spans="1:19" ht="140.4" x14ac:dyDescent="0.25">
      <c r="A30" s="117">
        <v>6</v>
      </c>
      <c r="B30" s="216" t="s">
        <v>95</v>
      </c>
      <c r="C30" s="180" t="s">
        <v>20</v>
      </c>
      <c r="D30" s="216" t="s">
        <v>95</v>
      </c>
      <c r="E30" s="389">
        <v>6</v>
      </c>
      <c r="F30" s="389" t="s">
        <v>38</v>
      </c>
      <c r="G30" s="390"/>
      <c r="H30" s="390"/>
      <c r="I30" s="390"/>
      <c r="J30" s="390"/>
      <c r="K30" s="390"/>
      <c r="L30" s="390"/>
      <c r="M30" s="390"/>
      <c r="N30" s="390"/>
      <c r="O30" s="390"/>
      <c r="P30" s="390">
        <v>2</v>
      </c>
      <c r="Q30" s="390">
        <v>2</v>
      </c>
      <c r="R30" s="390">
        <v>2</v>
      </c>
      <c r="S30" s="391">
        <f t="shared" si="0"/>
        <v>6</v>
      </c>
    </row>
    <row r="31" spans="1:19" ht="93.6" x14ac:dyDescent="0.25">
      <c r="A31" s="117">
        <v>7</v>
      </c>
      <c r="B31" s="265" t="s">
        <v>96</v>
      </c>
      <c r="C31" s="106" t="s">
        <v>20</v>
      </c>
      <c r="D31" s="265" t="s">
        <v>44</v>
      </c>
      <c r="E31" s="246">
        <v>2</v>
      </c>
      <c r="F31" s="246" t="s">
        <v>38</v>
      </c>
      <c r="G31" s="380"/>
      <c r="H31" s="380"/>
      <c r="I31" s="380"/>
      <c r="J31" s="380"/>
      <c r="K31" s="380"/>
      <c r="L31" s="380"/>
      <c r="M31" s="380"/>
      <c r="N31" s="380"/>
      <c r="O31" s="380">
        <v>1</v>
      </c>
      <c r="P31" s="380"/>
      <c r="Q31" s="380">
        <v>1</v>
      </c>
      <c r="R31" s="380"/>
      <c r="S31" s="378">
        <f t="shared" si="0"/>
        <v>2</v>
      </c>
    </row>
    <row r="32" spans="1:19" ht="124.8" x14ac:dyDescent="0.25">
      <c r="A32" s="117"/>
      <c r="B32" s="265"/>
      <c r="C32" s="106" t="s">
        <v>21</v>
      </c>
      <c r="D32" s="265" t="s">
        <v>97</v>
      </c>
      <c r="E32" s="246">
        <v>1</v>
      </c>
      <c r="F32" s="246" t="s">
        <v>45</v>
      </c>
      <c r="G32" s="380"/>
      <c r="H32" s="380"/>
      <c r="I32" s="380"/>
      <c r="J32" s="380"/>
      <c r="K32" s="380"/>
      <c r="L32" s="380"/>
      <c r="M32" s="380"/>
      <c r="N32" s="380"/>
      <c r="O32" s="380">
        <v>1</v>
      </c>
      <c r="P32" s="380"/>
      <c r="Q32" s="380"/>
      <c r="R32" s="380"/>
      <c r="S32" s="378">
        <f t="shared" si="0"/>
        <v>1</v>
      </c>
    </row>
    <row r="33" spans="1:19" ht="183.75" customHeight="1" x14ac:dyDescent="0.25">
      <c r="A33" s="117"/>
      <c r="B33" s="265"/>
      <c r="C33" s="106" t="s">
        <v>22</v>
      </c>
      <c r="D33" s="265" t="s">
        <v>46</v>
      </c>
      <c r="E33" s="246">
        <v>20</v>
      </c>
      <c r="F33" s="246" t="s">
        <v>47</v>
      </c>
      <c r="G33" s="380"/>
      <c r="H33" s="380"/>
      <c r="I33" s="380"/>
      <c r="J33" s="380"/>
      <c r="K33" s="380"/>
      <c r="L33" s="380"/>
      <c r="M33" s="380"/>
      <c r="N33" s="380"/>
      <c r="O33" s="380">
        <v>5</v>
      </c>
      <c r="P33" s="380">
        <v>5</v>
      </c>
      <c r="Q33" s="380">
        <v>5</v>
      </c>
      <c r="R33" s="380">
        <v>5</v>
      </c>
      <c r="S33" s="378">
        <f t="shared" si="0"/>
        <v>20</v>
      </c>
    </row>
    <row r="34" spans="1:19" ht="171.6" x14ac:dyDescent="0.25">
      <c r="A34" s="117"/>
      <c r="B34" s="265"/>
      <c r="C34" s="106" t="s">
        <v>23</v>
      </c>
      <c r="D34" s="265" t="s">
        <v>98</v>
      </c>
      <c r="E34" s="246">
        <v>1</v>
      </c>
      <c r="F34" s="246" t="s">
        <v>38</v>
      </c>
      <c r="G34" s="380"/>
      <c r="H34" s="380"/>
      <c r="I34" s="380"/>
      <c r="J34" s="380"/>
      <c r="K34" s="380"/>
      <c r="L34" s="380"/>
      <c r="M34" s="380"/>
      <c r="N34" s="380"/>
      <c r="O34" s="380"/>
      <c r="P34" s="380"/>
      <c r="Q34" s="380"/>
      <c r="R34" s="380">
        <v>1</v>
      </c>
      <c r="S34" s="378">
        <f t="shared" si="0"/>
        <v>1</v>
      </c>
    </row>
    <row r="35" spans="1:19" ht="174.75" customHeight="1" x14ac:dyDescent="0.25">
      <c r="A35" s="117"/>
      <c r="B35" s="265"/>
      <c r="C35" s="106" t="s">
        <v>24</v>
      </c>
      <c r="D35" s="265" t="s">
        <v>49</v>
      </c>
      <c r="E35" s="246">
        <v>10</v>
      </c>
      <c r="F35" s="246" t="s">
        <v>38</v>
      </c>
      <c r="G35" s="380"/>
      <c r="H35" s="380"/>
      <c r="I35" s="380"/>
      <c r="J35" s="380"/>
      <c r="K35" s="380"/>
      <c r="L35" s="380"/>
      <c r="M35" s="380"/>
      <c r="N35" s="380"/>
      <c r="O35" s="380">
        <v>3</v>
      </c>
      <c r="P35" s="380">
        <v>2</v>
      </c>
      <c r="Q35" s="380">
        <v>3</v>
      </c>
      <c r="R35" s="380">
        <v>2</v>
      </c>
      <c r="S35" s="378">
        <f t="shared" ref="S35:S40" si="1">SUM(N35:R35)</f>
        <v>10</v>
      </c>
    </row>
    <row r="36" spans="1:19" ht="62.4" x14ac:dyDescent="0.25">
      <c r="A36" s="117"/>
      <c r="B36" s="265"/>
      <c r="C36" s="106" t="s">
        <v>25</v>
      </c>
      <c r="D36" s="265" t="s">
        <v>282</v>
      </c>
      <c r="E36" s="246">
        <v>1</v>
      </c>
      <c r="F36" s="246" t="s">
        <v>101</v>
      </c>
      <c r="G36" s="380"/>
      <c r="H36" s="380"/>
      <c r="I36" s="380"/>
      <c r="J36" s="380"/>
      <c r="K36" s="380"/>
      <c r="L36" s="380"/>
      <c r="M36" s="380"/>
      <c r="N36" s="380"/>
      <c r="O36" s="380"/>
      <c r="P36" s="380"/>
      <c r="Q36" s="380">
        <v>1</v>
      </c>
      <c r="R36" s="380"/>
      <c r="S36" s="378">
        <f t="shared" si="1"/>
        <v>1</v>
      </c>
    </row>
    <row r="37" spans="1:19" ht="31.2" x14ac:dyDescent="0.25">
      <c r="A37" s="117"/>
      <c r="B37" s="265"/>
      <c r="C37" s="106" t="s">
        <v>26</v>
      </c>
      <c r="D37" s="265" t="s">
        <v>51</v>
      </c>
      <c r="E37" s="246">
        <v>1</v>
      </c>
      <c r="F37" s="246" t="s">
        <v>38</v>
      </c>
      <c r="G37" s="380"/>
      <c r="H37" s="380"/>
      <c r="I37" s="380"/>
      <c r="J37" s="380"/>
      <c r="K37" s="380"/>
      <c r="L37" s="380"/>
      <c r="M37" s="380"/>
      <c r="N37" s="380"/>
      <c r="O37" s="380">
        <v>1</v>
      </c>
      <c r="P37" s="380"/>
      <c r="Q37" s="380"/>
      <c r="R37" s="380"/>
      <c r="S37" s="378">
        <f t="shared" si="1"/>
        <v>1</v>
      </c>
    </row>
    <row r="38" spans="1:19" ht="46.8" x14ac:dyDescent="0.25">
      <c r="A38" s="117"/>
      <c r="B38" s="265"/>
      <c r="C38" s="106" t="s">
        <v>27</v>
      </c>
      <c r="D38" s="265" t="s">
        <v>52</v>
      </c>
      <c r="E38" s="246">
        <v>1</v>
      </c>
      <c r="F38" s="246" t="s">
        <v>38</v>
      </c>
      <c r="G38" s="380"/>
      <c r="H38" s="380"/>
      <c r="I38" s="380"/>
      <c r="J38" s="380"/>
      <c r="K38" s="380"/>
      <c r="L38" s="380"/>
      <c r="M38" s="380"/>
      <c r="N38" s="380"/>
      <c r="O38" s="380">
        <v>1</v>
      </c>
      <c r="P38" s="380"/>
      <c r="Q38" s="380"/>
      <c r="R38" s="380"/>
      <c r="S38" s="378">
        <f t="shared" si="1"/>
        <v>1</v>
      </c>
    </row>
    <row r="39" spans="1:19" ht="78" x14ac:dyDescent="0.25">
      <c r="A39" s="117"/>
      <c r="B39" s="265"/>
      <c r="C39" s="106" t="s">
        <v>29</v>
      </c>
      <c r="D39" s="212" t="s">
        <v>102</v>
      </c>
      <c r="E39" s="246">
        <v>3</v>
      </c>
      <c r="F39" s="246" t="s">
        <v>38</v>
      </c>
      <c r="G39" s="380"/>
      <c r="H39" s="380"/>
      <c r="I39" s="380"/>
      <c r="J39" s="380"/>
      <c r="K39" s="380"/>
      <c r="L39" s="380"/>
      <c r="M39" s="380"/>
      <c r="N39" s="380"/>
      <c r="O39" s="380"/>
      <c r="P39" s="380">
        <v>1</v>
      </c>
      <c r="Q39" s="380">
        <v>2</v>
      </c>
      <c r="R39" s="380"/>
      <c r="S39" s="378">
        <f t="shared" si="1"/>
        <v>3</v>
      </c>
    </row>
    <row r="40" spans="1:19" ht="31.2" x14ac:dyDescent="0.25">
      <c r="A40" s="117"/>
      <c r="B40" s="265"/>
      <c r="C40" s="388" t="s">
        <v>29</v>
      </c>
      <c r="D40" s="114" t="s">
        <v>299</v>
      </c>
      <c r="E40" s="131">
        <v>20</v>
      </c>
      <c r="F40" s="392" t="s">
        <v>101</v>
      </c>
      <c r="G40" s="388"/>
      <c r="H40" s="388"/>
      <c r="I40" s="388"/>
      <c r="J40" s="388"/>
      <c r="K40" s="388"/>
      <c r="L40" s="388"/>
      <c r="M40" s="388"/>
      <c r="N40" s="131"/>
      <c r="O40" s="131">
        <v>5</v>
      </c>
      <c r="P40" s="131">
        <v>5</v>
      </c>
      <c r="Q40" s="131">
        <v>5</v>
      </c>
      <c r="R40" s="131">
        <v>5</v>
      </c>
      <c r="S40" s="378">
        <f t="shared" si="1"/>
        <v>20</v>
      </c>
    </row>
    <row r="41" spans="1:19" ht="15.6" x14ac:dyDescent="0.25">
      <c r="A41" s="117"/>
      <c r="B41" s="265"/>
      <c r="D41" s="208"/>
      <c r="E41" s="208"/>
      <c r="F41" s="208"/>
      <c r="G41" s="208"/>
      <c r="H41" s="208"/>
      <c r="I41" s="208"/>
      <c r="J41" s="208"/>
      <c r="K41" s="208"/>
      <c r="L41" s="208"/>
      <c r="M41" s="208"/>
      <c r="N41" s="208"/>
      <c r="O41" s="208"/>
      <c r="P41" s="208"/>
      <c r="Q41" s="208"/>
      <c r="R41" s="208"/>
      <c r="S41" s="208"/>
    </row>
    <row r="42" spans="1:19" ht="15.6" x14ac:dyDescent="0.25">
      <c r="A42" s="299" t="s">
        <v>74</v>
      </c>
      <c r="B42" s="300"/>
      <c r="C42" s="300"/>
      <c r="D42" s="301"/>
      <c r="E42" s="246">
        <f>SUM(E11:E40)</f>
        <v>177</v>
      </c>
      <c r="F42" s="393">
        <f>SUM(F11:F40)</f>
        <v>0</v>
      </c>
      <c r="G42" s="246">
        <f t="shared" ref="G42:M42" si="2">SUM(G11:G39)</f>
        <v>0</v>
      </c>
      <c r="H42" s="246">
        <f t="shared" si="2"/>
        <v>0</v>
      </c>
      <c r="I42" s="246">
        <f t="shared" si="2"/>
        <v>0</v>
      </c>
      <c r="J42" s="246">
        <f t="shared" si="2"/>
        <v>0</v>
      </c>
      <c r="K42" s="246">
        <f t="shared" si="2"/>
        <v>0</v>
      </c>
      <c r="L42" s="246">
        <f t="shared" si="2"/>
        <v>0</v>
      </c>
      <c r="M42" s="246">
        <f t="shared" si="2"/>
        <v>0</v>
      </c>
      <c r="N42" s="246">
        <f>SUM(N11:N40)</f>
        <v>0</v>
      </c>
      <c r="O42" s="246">
        <f>SUM(O11:O39)</f>
        <v>39</v>
      </c>
      <c r="P42" s="246">
        <f>SUM(P11:P39)</f>
        <v>39</v>
      </c>
      <c r="Q42" s="246">
        <f>SUM(Q11:Q39)</f>
        <v>39</v>
      </c>
      <c r="R42" s="246">
        <f>SUM(R11:R39)</f>
        <v>40</v>
      </c>
      <c r="S42" s="380">
        <f>SUM(S11:S40)</f>
        <v>177</v>
      </c>
    </row>
    <row r="43" spans="1:19" x14ac:dyDescent="0.25">
      <c r="A43" s="213"/>
      <c r="B43" s="214"/>
      <c r="C43" s="215"/>
      <c r="D43" s="214"/>
      <c r="E43" s="215"/>
      <c r="F43" s="394"/>
      <c r="G43" s="215"/>
      <c r="H43" s="215"/>
      <c r="I43" s="215"/>
      <c r="J43" s="215"/>
      <c r="K43" s="215"/>
      <c r="L43" s="215"/>
      <c r="M43" s="215"/>
      <c r="N43" s="215"/>
      <c r="O43" s="215"/>
      <c r="P43" s="215"/>
      <c r="Q43" s="215"/>
      <c r="R43" s="215"/>
      <c r="S43" s="215"/>
    </row>
    <row r="44" spans="1:19" ht="15" customHeight="1" x14ac:dyDescent="0.25">
      <c r="A44" s="208"/>
      <c r="E44" s="208"/>
      <c r="F44" s="208"/>
      <c r="G44" s="208"/>
      <c r="H44" s="208"/>
      <c r="I44" s="208"/>
      <c r="J44" s="208"/>
      <c r="K44" s="208"/>
      <c r="L44" s="208"/>
      <c r="M44" s="208"/>
      <c r="N44" s="208"/>
      <c r="O44" s="395" t="s">
        <v>327</v>
      </c>
      <c r="P44" s="395"/>
      <c r="Q44" s="395"/>
      <c r="R44" s="395"/>
      <c r="S44" s="395"/>
    </row>
    <row r="45" spans="1:19" x14ac:dyDescent="0.25">
      <c r="A45" s="208"/>
      <c r="E45" s="208"/>
      <c r="F45" s="208"/>
      <c r="G45" s="208"/>
      <c r="H45" s="208"/>
      <c r="I45" s="208"/>
      <c r="J45" s="208"/>
      <c r="K45" s="208"/>
      <c r="L45" s="208"/>
      <c r="M45" s="208"/>
      <c r="N45" s="208"/>
      <c r="O45" s="395" t="s">
        <v>54</v>
      </c>
      <c r="P45" s="395"/>
      <c r="Q45" s="395"/>
      <c r="R45" s="395"/>
      <c r="S45" s="395"/>
    </row>
    <row r="46" spans="1:19" x14ac:dyDescent="0.25">
      <c r="A46" s="208"/>
      <c r="B46" s="395" t="s">
        <v>317</v>
      </c>
      <c r="C46" s="395"/>
      <c r="D46" s="395"/>
      <c r="E46" s="395"/>
      <c r="F46" s="208">
        <f>E42/5</f>
        <v>35.4</v>
      </c>
      <c r="G46" s="208"/>
      <c r="H46" s="208"/>
      <c r="I46" s="208"/>
      <c r="J46" s="208"/>
      <c r="K46" s="208"/>
      <c r="L46" s="208"/>
      <c r="M46" s="208"/>
      <c r="N46" s="208"/>
      <c r="O46" s="395" t="s">
        <v>104</v>
      </c>
      <c r="P46" s="395"/>
      <c r="Q46" s="395"/>
      <c r="R46" s="395"/>
      <c r="S46" s="395"/>
    </row>
    <row r="47" spans="1:19" ht="15" customHeight="1" x14ac:dyDescent="0.25">
      <c r="A47" s="208"/>
      <c r="E47" s="208"/>
      <c r="F47" s="208"/>
      <c r="G47" s="208"/>
      <c r="H47" s="208"/>
      <c r="I47" s="208"/>
      <c r="J47" s="208"/>
      <c r="K47" s="208"/>
      <c r="L47" s="208"/>
      <c r="M47" s="208"/>
      <c r="N47" s="208"/>
      <c r="O47" s="208"/>
      <c r="P47" s="208"/>
      <c r="Q47" s="208"/>
      <c r="R47" s="208"/>
      <c r="S47" s="208"/>
    </row>
    <row r="48" spans="1:19" x14ac:dyDescent="0.25">
      <c r="A48" s="208"/>
      <c r="E48" s="208"/>
      <c r="F48" s="208"/>
      <c r="G48" s="208"/>
      <c r="H48" s="208"/>
      <c r="I48" s="208"/>
      <c r="J48" s="208"/>
      <c r="K48" s="208"/>
      <c r="L48" s="208"/>
      <c r="M48" s="208"/>
      <c r="N48" s="208"/>
      <c r="O48" s="208"/>
      <c r="P48" s="208"/>
      <c r="Q48" s="208"/>
      <c r="R48" s="208"/>
      <c r="S48" s="208"/>
    </row>
    <row r="49" spans="1:19" x14ac:dyDescent="0.25">
      <c r="A49" s="208"/>
      <c r="B49" s="395" t="str">
        <f>CARIK!B46</f>
        <v>SUNARDI</v>
      </c>
      <c r="C49" s="395"/>
      <c r="D49" s="395"/>
      <c r="E49" s="395"/>
      <c r="F49" s="208"/>
      <c r="G49" s="208"/>
      <c r="H49" s="208"/>
      <c r="I49" s="208"/>
      <c r="J49" s="208"/>
      <c r="K49" s="208"/>
      <c r="L49" s="208"/>
      <c r="M49" s="208"/>
      <c r="N49" s="208"/>
      <c r="O49" s="395" t="s">
        <v>322</v>
      </c>
      <c r="P49" s="395"/>
      <c r="Q49" s="395"/>
      <c r="R49" s="395"/>
      <c r="S49" s="395"/>
    </row>
  </sheetData>
  <mergeCells count="20">
    <mergeCell ref="O45:S45"/>
    <mergeCell ref="B46:E46"/>
    <mergeCell ref="O46:S46"/>
    <mergeCell ref="B49:E49"/>
    <mergeCell ref="O49:S49"/>
    <mergeCell ref="O44:S44"/>
    <mergeCell ref="A1:S1"/>
    <mergeCell ref="A7:A8"/>
    <mergeCell ref="B7:B8"/>
    <mergeCell ref="C7:C8"/>
    <mergeCell ref="D7:D8"/>
    <mergeCell ref="E7:F8"/>
    <mergeCell ref="S7:S8"/>
    <mergeCell ref="E9:F9"/>
    <mergeCell ref="E10:F10"/>
    <mergeCell ref="A24:A26"/>
    <mergeCell ref="B24:B26"/>
    <mergeCell ref="A42:D42"/>
    <mergeCell ref="B11:B23"/>
    <mergeCell ref="A11:A23"/>
  </mergeCells>
  <pageMargins left="0.55118110236220474" right="0.11811023622047245" top="0.55118110236220474" bottom="0.55118110236220474" header="0.31496062992125984" footer="0.31496062992125984"/>
  <pageSetup paperSize="14" scale="79" fitToHeight="0"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T48"/>
  <sheetViews>
    <sheetView view="pageBreakPreview" zoomScale="70" zoomScaleNormal="87" zoomScaleSheetLayoutView="70" workbookViewId="0">
      <selection sqref="A1:S48"/>
    </sheetView>
  </sheetViews>
  <sheetFormatPr defaultColWidth="16.5546875" defaultRowHeight="15.6" x14ac:dyDescent="0.3"/>
  <cols>
    <col min="1" max="1" width="4.88671875" style="157" customWidth="1"/>
    <col min="2" max="2" width="18.5546875" style="95" customWidth="1"/>
    <col min="3" max="3" width="6.109375" style="125" customWidth="1"/>
    <col min="4" max="4" width="21.6640625" style="126" customWidth="1"/>
    <col min="5" max="5" width="14.109375" style="144" customWidth="1"/>
    <col min="6" max="6" width="14.109375" style="127" customWidth="1"/>
    <col min="7" max="13" width="0" style="92" hidden="1" customWidth="1"/>
    <col min="14" max="14" width="8.88671875" style="92" hidden="1" customWidth="1"/>
    <col min="15" max="18" width="6.88671875" style="92" customWidth="1"/>
    <col min="19" max="19" width="9.88671875" style="92" customWidth="1"/>
    <col min="20" max="16384" width="16.5546875" style="92"/>
  </cols>
  <sheetData>
    <row r="1" spans="1:20" ht="13.8" x14ac:dyDescent="0.25">
      <c r="A1" s="285" t="s">
        <v>0</v>
      </c>
      <c r="B1" s="285"/>
      <c r="C1" s="285"/>
      <c r="D1" s="285"/>
      <c r="E1" s="285"/>
      <c r="F1" s="285"/>
      <c r="G1" s="285"/>
      <c r="H1" s="285"/>
      <c r="I1" s="285"/>
      <c r="J1" s="285"/>
      <c r="K1" s="285"/>
      <c r="L1" s="285"/>
      <c r="M1" s="285"/>
      <c r="N1" s="285"/>
      <c r="O1" s="285"/>
      <c r="P1" s="285"/>
      <c r="Q1" s="285"/>
      <c r="R1" s="285"/>
      <c r="S1" s="285"/>
    </row>
    <row r="2" spans="1:20" ht="13.8" x14ac:dyDescent="0.25">
      <c r="A2" s="91"/>
      <c r="B2" s="91"/>
      <c r="C2" s="91"/>
      <c r="D2" s="91"/>
      <c r="E2" s="91"/>
      <c r="F2" s="91"/>
      <c r="G2" s="91"/>
      <c r="H2" s="91"/>
      <c r="I2" s="91"/>
      <c r="J2" s="91"/>
      <c r="K2" s="91"/>
      <c r="L2" s="91"/>
      <c r="M2" s="91"/>
      <c r="N2" s="91"/>
      <c r="O2" s="91"/>
      <c r="P2" s="91"/>
      <c r="Q2" s="91"/>
      <c r="R2" s="91"/>
      <c r="S2" s="91"/>
    </row>
    <row r="3" spans="1:20" ht="21.75" customHeight="1" x14ac:dyDescent="0.25">
      <c r="A3" s="157" t="s">
        <v>1</v>
      </c>
      <c r="C3" s="125" t="s">
        <v>318</v>
      </c>
      <c r="D3" s="311" t="s">
        <v>323</v>
      </c>
      <c r="E3" s="311"/>
      <c r="F3" s="311"/>
    </row>
    <row r="4" spans="1:20" x14ac:dyDescent="0.3">
      <c r="A4" s="157" t="s">
        <v>2</v>
      </c>
      <c r="C4" s="125" t="s">
        <v>318</v>
      </c>
      <c r="D4" s="145" t="s">
        <v>324</v>
      </c>
    </row>
    <row r="6" spans="1:20" s="118" customFormat="1" ht="13.8" x14ac:dyDescent="0.25">
      <c r="A6" s="287" t="s">
        <v>3</v>
      </c>
      <c r="B6" s="308" t="s">
        <v>4</v>
      </c>
      <c r="C6" s="309"/>
      <c r="D6" s="310" t="s">
        <v>5</v>
      </c>
      <c r="E6" s="309" t="s">
        <v>6</v>
      </c>
      <c r="F6" s="309"/>
      <c r="G6" s="128"/>
      <c r="H6" s="128"/>
      <c r="I6" s="128"/>
      <c r="J6" s="128"/>
      <c r="K6" s="128"/>
      <c r="L6" s="128"/>
      <c r="M6" s="128"/>
      <c r="N6" s="128"/>
      <c r="O6" s="128"/>
      <c r="P6" s="128"/>
      <c r="Q6" s="128"/>
      <c r="R6" s="128"/>
      <c r="S6" s="309" t="s">
        <v>7</v>
      </c>
    </row>
    <row r="7" spans="1:20" s="118" customFormat="1" ht="13.8" x14ac:dyDescent="0.25">
      <c r="A7" s="287"/>
      <c r="B7" s="308"/>
      <c r="C7" s="309"/>
      <c r="D7" s="310"/>
      <c r="E7" s="309"/>
      <c r="F7" s="309"/>
      <c r="G7" s="128" t="s">
        <v>8</v>
      </c>
      <c r="H7" s="128" t="s">
        <v>9</v>
      </c>
      <c r="I7" s="128" t="s">
        <v>10</v>
      </c>
      <c r="J7" s="128" t="s">
        <v>11</v>
      </c>
      <c r="K7" s="128" t="s">
        <v>12</v>
      </c>
      <c r="L7" s="128" t="s">
        <v>13</v>
      </c>
      <c r="M7" s="128" t="s">
        <v>14</v>
      </c>
      <c r="N7" s="128" t="s">
        <v>15</v>
      </c>
      <c r="O7" s="128" t="s">
        <v>16</v>
      </c>
      <c r="P7" s="128" t="s">
        <v>17</v>
      </c>
      <c r="Q7" s="128" t="s">
        <v>18</v>
      </c>
      <c r="R7" s="128" t="s">
        <v>19</v>
      </c>
      <c r="S7" s="309"/>
    </row>
    <row r="8" spans="1:20" s="118" customFormat="1" x14ac:dyDescent="0.25">
      <c r="A8" s="129" t="s">
        <v>20</v>
      </c>
      <c r="B8" s="160" t="s">
        <v>21</v>
      </c>
      <c r="C8" s="129"/>
      <c r="D8" s="99" t="s">
        <v>22</v>
      </c>
      <c r="E8" s="288" t="s">
        <v>23</v>
      </c>
      <c r="F8" s="288"/>
      <c r="G8" s="100" t="s">
        <v>24</v>
      </c>
      <c r="H8" s="100" t="s">
        <v>25</v>
      </c>
      <c r="I8" s="100" t="s">
        <v>26</v>
      </c>
      <c r="J8" s="100" t="s">
        <v>27</v>
      </c>
      <c r="K8" s="100" t="s">
        <v>28</v>
      </c>
      <c r="L8" s="100" t="s">
        <v>29</v>
      </c>
      <c r="M8" s="100" t="s">
        <v>30</v>
      </c>
      <c r="N8" s="100" t="s">
        <v>31</v>
      </c>
      <c r="O8" s="100" t="s">
        <v>32</v>
      </c>
      <c r="P8" s="100" t="s">
        <v>33</v>
      </c>
      <c r="Q8" s="100" t="s">
        <v>34</v>
      </c>
      <c r="R8" s="100" t="s">
        <v>35</v>
      </c>
      <c r="S8" s="100" t="s">
        <v>36</v>
      </c>
    </row>
    <row r="9" spans="1:20" ht="171.6" x14ac:dyDescent="0.25">
      <c r="A9" s="322">
        <v>1</v>
      </c>
      <c r="B9" s="319" t="s">
        <v>120</v>
      </c>
      <c r="C9" s="106" t="s">
        <v>20</v>
      </c>
      <c r="D9" s="130" t="s">
        <v>79</v>
      </c>
      <c r="E9" s="146">
        <v>12</v>
      </c>
      <c r="F9" s="147" t="s">
        <v>234</v>
      </c>
      <c r="G9" s="148"/>
      <c r="H9" s="148"/>
      <c r="I9" s="148"/>
      <c r="J9" s="148"/>
      <c r="K9" s="148"/>
      <c r="L9" s="148"/>
      <c r="M9" s="148"/>
      <c r="N9" s="148"/>
      <c r="O9" s="148">
        <v>4</v>
      </c>
      <c r="P9" s="148">
        <v>4</v>
      </c>
      <c r="Q9" s="148">
        <v>4</v>
      </c>
      <c r="R9" s="148"/>
      <c r="S9" s="148">
        <f>SUM(N9:R9)</f>
        <v>12</v>
      </c>
    </row>
    <row r="10" spans="1:20" ht="327.60000000000002" x14ac:dyDescent="0.25">
      <c r="A10" s="323"/>
      <c r="B10" s="320"/>
      <c r="C10" s="106" t="s">
        <v>21</v>
      </c>
      <c r="D10" s="140" t="s">
        <v>244</v>
      </c>
      <c r="E10" s="146">
        <v>25</v>
      </c>
      <c r="F10" s="147" t="s">
        <v>234</v>
      </c>
      <c r="G10" s="148"/>
      <c r="H10" s="148"/>
      <c r="I10" s="148"/>
      <c r="J10" s="148"/>
      <c r="K10" s="148"/>
      <c r="L10" s="148"/>
      <c r="M10" s="148"/>
      <c r="N10" s="148"/>
      <c r="O10" s="148">
        <v>6</v>
      </c>
      <c r="P10" s="148">
        <v>6</v>
      </c>
      <c r="Q10" s="148">
        <v>6</v>
      </c>
      <c r="R10" s="148">
        <v>7</v>
      </c>
      <c r="S10" s="148">
        <f t="shared" ref="S10:S40" si="0">SUM(N10:R10)</f>
        <v>25</v>
      </c>
    </row>
    <row r="11" spans="1:20" ht="156" x14ac:dyDescent="0.25">
      <c r="A11" s="323"/>
      <c r="B11" s="320"/>
      <c r="C11" s="106" t="s">
        <v>22</v>
      </c>
      <c r="D11" s="132" t="s">
        <v>236</v>
      </c>
      <c r="E11" s="155">
        <v>5</v>
      </c>
      <c r="F11" s="155" t="s">
        <v>101</v>
      </c>
      <c r="G11" s="153"/>
      <c r="H11" s="153"/>
      <c r="I11" s="153"/>
      <c r="J11" s="153"/>
      <c r="K11" s="153"/>
      <c r="L11" s="153"/>
      <c r="M11" s="153"/>
      <c r="N11" s="153"/>
      <c r="O11" s="153">
        <v>1</v>
      </c>
      <c r="P11" s="153">
        <v>1</v>
      </c>
      <c r="Q11" s="153">
        <v>1</v>
      </c>
      <c r="R11" s="153">
        <v>2</v>
      </c>
      <c r="S11" s="148">
        <f>SUM(N11:R11)</f>
        <v>5</v>
      </c>
    </row>
    <row r="12" spans="1:20" ht="265.2" x14ac:dyDescent="0.25">
      <c r="A12" s="323"/>
      <c r="B12" s="320"/>
      <c r="C12" s="142" t="s">
        <v>23</v>
      </c>
      <c r="D12" s="134" t="s">
        <v>246</v>
      </c>
      <c r="E12" s="149">
        <v>10</v>
      </c>
      <c r="F12" s="150" t="s">
        <v>229</v>
      </c>
      <c r="G12" s="151"/>
      <c r="H12" s="151"/>
      <c r="I12" s="151"/>
      <c r="J12" s="151"/>
      <c r="K12" s="151"/>
      <c r="L12" s="151"/>
      <c r="M12" s="151"/>
      <c r="N12" s="151"/>
      <c r="O12" s="151">
        <v>3</v>
      </c>
      <c r="P12" s="151">
        <v>2</v>
      </c>
      <c r="Q12" s="151">
        <v>3</v>
      </c>
      <c r="R12" s="151">
        <v>2</v>
      </c>
      <c r="S12" s="148">
        <f t="shared" si="0"/>
        <v>10</v>
      </c>
    </row>
    <row r="13" spans="1:20" ht="249.6" x14ac:dyDescent="0.25">
      <c r="A13" s="323"/>
      <c r="B13" s="320"/>
      <c r="C13" s="106" t="s">
        <v>24</v>
      </c>
      <c r="D13" s="132" t="s">
        <v>226</v>
      </c>
      <c r="E13" s="149">
        <v>10</v>
      </c>
      <c r="F13" s="152" t="s">
        <v>38</v>
      </c>
      <c r="G13" s="151"/>
      <c r="H13" s="151"/>
      <c r="I13" s="151"/>
      <c r="J13" s="151"/>
      <c r="K13" s="151"/>
      <c r="L13" s="151"/>
      <c r="M13" s="151"/>
      <c r="N13" s="151"/>
      <c r="O13" s="151">
        <v>2</v>
      </c>
      <c r="P13" s="151">
        <v>3</v>
      </c>
      <c r="Q13" s="151">
        <v>3</v>
      </c>
      <c r="R13" s="151">
        <v>2</v>
      </c>
      <c r="S13" s="148">
        <f t="shared" si="0"/>
        <v>10</v>
      </c>
    </row>
    <row r="14" spans="1:20" ht="124.8" x14ac:dyDescent="0.25">
      <c r="A14" s="323"/>
      <c r="B14" s="320"/>
      <c r="C14" s="106" t="s">
        <v>25</v>
      </c>
      <c r="D14" s="192" t="s">
        <v>270</v>
      </c>
      <c r="E14" s="193">
        <v>3</v>
      </c>
      <c r="F14" s="194" t="s">
        <v>81</v>
      </c>
      <c r="G14" s="195"/>
      <c r="H14" s="195"/>
      <c r="I14" s="195"/>
      <c r="J14" s="195"/>
      <c r="K14" s="195"/>
      <c r="L14" s="195"/>
      <c r="M14" s="195"/>
      <c r="N14" s="195"/>
      <c r="O14" s="195"/>
      <c r="P14" s="195">
        <v>2</v>
      </c>
      <c r="Q14" s="195"/>
      <c r="R14" s="195">
        <v>1</v>
      </c>
      <c r="S14" s="196">
        <f t="shared" si="0"/>
        <v>3</v>
      </c>
      <c r="T14" s="92" t="s">
        <v>273</v>
      </c>
    </row>
    <row r="15" spans="1:20" ht="140.4" x14ac:dyDescent="0.25">
      <c r="A15" s="323"/>
      <c r="B15" s="320"/>
      <c r="C15" s="106" t="s">
        <v>26</v>
      </c>
      <c r="D15" s="132" t="s">
        <v>235</v>
      </c>
      <c r="E15" s="155">
        <v>5</v>
      </c>
      <c r="F15" s="155" t="s">
        <v>101</v>
      </c>
      <c r="G15" s="153"/>
      <c r="H15" s="153"/>
      <c r="I15" s="153"/>
      <c r="J15" s="153"/>
      <c r="K15" s="153"/>
      <c r="L15" s="153"/>
      <c r="M15" s="153"/>
      <c r="N15" s="153"/>
      <c r="O15" s="153">
        <v>1</v>
      </c>
      <c r="P15" s="153">
        <v>2</v>
      </c>
      <c r="Q15" s="153">
        <v>1</v>
      </c>
      <c r="R15" s="153">
        <v>1</v>
      </c>
      <c r="S15" s="148">
        <f t="shared" ref="S15" si="1">SUM(N15:R15)</f>
        <v>5</v>
      </c>
    </row>
    <row r="16" spans="1:20" ht="312" x14ac:dyDescent="0.25">
      <c r="A16" s="323"/>
      <c r="B16" s="321"/>
      <c r="C16" s="106" t="s">
        <v>27</v>
      </c>
      <c r="D16" s="130" t="s">
        <v>121</v>
      </c>
      <c r="E16" s="149">
        <v>1</v>
      </c>
      <c r="F16" s="152" t="s">
        <v>38</v>
      </c>
      <c r="G16" s="153"/>
      <c r="H16" s="153"/>
      <c r="I16" s="153"/>
      <c r="J16" s="153"/>
      <c r="K16" s="153"/>
      <c r="L16" s="153"/>
      <c r="M16" s="153"/>
      <c r="N16" s="153"/>
      <c r="O16" s="153">
        <v>1</v>
      </c>
      <c r="P16" s="153"/>
      <c r="Q16" s="153"/>
      <c r="R16" s="153"/>
      <c r="S16" s="148">
        <f t="shared" si="0"/>
        <v>1</v>
      </c>
    </row>
    <row r="17" spans="1:19" ht="140.4" x14ac:dyDescent="0.25">
      <c r="A17" s="323"/>
      <c r="B17" s="249"/>
      <c r="C17" s="138" t="s">
        <v>28</v>
      </c>
      <c r="D17" s="132" t="s">
        <v>237</v>
      </c>
      <c r="E17" s="155">
        <v>1</v>
      </c>
      <c r="F17" s="155" t="s">
        <v>101</v>
      </c>
      <c r="G17" s="153"/>
      <c r="H17" s="153"/>
      <c r="I17" s="153"/>
      <c r="J17" s="153"/>
      <c r="K17" s="153"/>
      <c r="L17" s="153"/>
      <c r="M17" s="153"/>
      <c r="N17" s="153"/>
      <c r="O17" s="153"/>
      <c r="P17" s="153"/>
      <c r="Q17" s="153">
        <v>1</v>
      </c>
      <c r="R17" s="153"/>
      <c r="S17" s="148">
        <f>SUM(N17:R17)</f>
        <v>1</v>
      </c>
    </row>
    <row r="18" spans="1:19" ht="140.4" x14ac:dyDescent="0.25">
      <c r="A18" s="322">
        <v>2</v>
      </c>
      <c r="B18" s="319" t="s">
        <v>109</v>
      </c>
      <c r="C18" s="106" t="s">
        <v>20</v>
      </c>
      <c r="D18" s="130" t="s">
        <v>242</v>
      </c>
      <c r="E18" s="149">
        <v>3</v>
      </c>
      <c r="F18" s="152" t="s">
        <v>38</v>
      </c>
      <c r="G18" s="153"/>
      <c r="H18" s="153"/>
      <c r="I18" s="153"/>
      <c r="J18" s="153"/>
      <c r="K18" s="153"/>
      <c r="L18" s="153"/>
      <c r="M18" s="153"/>
      <c r="N18" s="153"/>
      <c r="O18" s="153"/>
      <c r="P18" s="153">
        <v>1</v>
      </c>
      <c r="Q18" s="153"/>
      <c r="R18" s="153">
        <v>2</v>
      </c>
      <c r="S18" s="148">
        <f t="shared" si="0"/>
        <v>3</v>
      </c>
    </row>
    <row r="19" spans="1:19" ht="93.6" x14ac:dyDescent="0.25">
      <c r="A19" s="323"/>
      <c r="B19" s="320"/>
      <c r="C19" s="106" t="s">
        <v>21</v>
      </c>
      <c r="D19" s="130" t="s">
        <v>227</v>
      </c>
      <c r="E19" s="149">
        <v>2</v>
      </c>
      <c r="F19" s="152" t="s">
        <v>228</v>
      </c>
      <c r="G19" s="153"/>
      <c r="H19" s="153"/>
      <c r="I19" s="153"/>
      <c r="J19" s="153"/>
      <c r="K19" s="153"/>
      <c r="L19" s="153"/>
      <c r="M19" s="153"/>
      <c r="N19" s="153"/>
      <c r="O19" s="153"/>
      <c r="P19" s="153"/>
      <c r="Q19" s="153">
        <v>2</v>
      </c>
      <c r="R19" s="153"/>
      <c r="S19" s="148">
        <f t="shared" si="0"/>
        <v>2</v>
      </c>
    </row>
    <row r="20" spans="1:19" ht="62.4" x14ac:dyDescent="0.25">
      <c r="A20" s="323"/>
      <c r="B20" s="320"/>
      <c r="C20" s="106" t="s">
        <v>22</v>
      </c>
      <c r="D20" s="130" t="s">
        <v>230</v>
      </c>
      <c r="E20" s="149">
        <v>2</v>
      </c>
      <c r="F20" s="152" t="s">
        <v>228</v>
      </c>
      <c r="G20" s="153"/>
      <c r="H20" s="153"/>
      <c r="I20" s="153"/>
      <c r="J20" s="153"/>
      <c r="K20" s="153"/>
      <c r="L20" s="153"/>
      <c r="M20" s="153"/>
      <c r="N20" s="153"/>
      <c r="O20" s="153">
        <v>1</v>
      </c>
      <c r="P20" s="153">
        <v>1</v>
      </c>
      <c r="Q20" s="153"/>
      <c r="R20" s="153"/>
      <c r="S20" s="148">
        <f t="shared" si="0"/>
        <v>2</v>
      </c>
    </row>
    <row r="21" spans="1:19" ht="41.4" x14ac:dyDescent="0.25">
      <c r="A21" s="323"/>
      <c r="B21" s="320"/>
      <c r="C21" s="106" t="s">
        <v>23</v>
      </c>
      <c r="D21" s="136" t="s">
        <v>231</v>
      </c>
      <c r="E21" s="149">
        <v>2</v>
      </c>
      <c r="F21" s="152" t="s">
        <v>228</v>
      </c>
      <c r="G21" s="153"/>
      <c r="H21" s="153"/>
      <c r="I21" s="153"/>
      <c r="J21" s="153"/>
      <c r="K21" s="153"/>
      <c r="L21" s="153"/>
      <c r="M21" s="153"/>
      <c r="N21" s="153"/>
      <c r="O21" s="153"/>
      <c r="P21" s="153"/>
      <c r="Q21" s="153">
        <v>2</v>
      </c>
      <c r="R21" s="153"/>
      <c r="S21" s="148">
        <f t="shared" si="0"/>
        <v>2</v>
      </c>
    </row>
    <row r="22" spans="1:19" ht="41.4" x14ac:dyDescent="0.25">
      <c r="A22" s="324"/>
      <c r="B22" s="320"/>
      <c r="C22" s="133" t="s">
        <v>24</v>
      </c>
      <c r="D22" s="137" t="s">
        <v>232</v>
      </c>
      <c r="E22" s="155">
        <v>1</v>
      </c>
      <c r="F22" s="155" t="s">
        <v>101</v>
      </c>
      <c r="G22" s="153"/>
      <c r="H22" s="153"/>
      <c r="I22" s="153"/>
      <c r="J22" s="153"/>
      <c r="K22" s="153"/>
      <c r="L22" s="153"/>
      <c r="M22" s="153"/>
      <c r="N22" s="153"/>
      <c r="O22" s="153"/>
      <c r="P22" s="153">
        <v>1</v>
      </c>
      <c r="Q22" s="153"/>
      <c r="R22" s="153"/>
      <c r="S22" s="148">
        <f t="shared" si="0"/>
        <v>1</v>
      </c>
    </row>
    <row r="23" spans="1:19" ht="234" x14ac:dyDescent="0.25">
      <c r="A23" s="250">
        <v>3</v>
      </c>
      <c r="B23" s="248" t="s">
        <v>122</v>
      </c>
      <c r="C23" s="138" t="s">
        <v>20</v>
      </c>
      <c r="D23" s="130" t="s">
        <v>277</v>
      </c>
      <c r="E23" s="155">
        <v>5</v>
      </c>
      <c r="F23" s="155" t="s">
        <v>101</v>
      </c>
      <c r="G23" s="153"/>
      <c r="H23" s="153"/>
      <c r="I23" s="153"/>
      <c r="J23" s="153"/>
      <c r="K23" s="153"/>
      <c r="L23" s="153"/>
      <c r="M23" s="153"/>
      <c r="N23" s="153"/>
      <c r="O23" s="153">
        <v>2</v>
      </c>
      <c r="P23" s="153">
        <v>1</v>
      </c>
      <c r="Q23" s="153">
        <v>1</v>
      </c>
      <c r="R23" s="153">
        <v>1</v>
      </c>
      <c r="S23" s="148">
        <f>SUM(N23:R23)</f>
        <v>5</v>
      </c>
    </row>
    <row r="24" spans="1:19" ht="409.6" x14ac:dyDescent="0.25">
      <c r="A24" s="158">
        <v>4</v>
      </c>
      <c r="B24" s="114" t="s">
        <v>92</v>
      </c>
      <c r="C24" s="106" t="s">
        <v>20</v>
      </c>
      <c r="D24" s="130" t="s">
        <v>123</v>
      </c>
      <c r="E24" s="147">
        <v>2</v>
      </c>
      <c r="F24" s="152" t="s">
        <v>124</v>
      </c>
      <c r="G24" s="153"/>
      <c r="H24" s="153"/>
      <c r="I24" s="153"/>
      <c r="J24" s="153"/>
      <c r="K24" s="153"/>
      <c r="L24" s="153"/>
      <c r="M24" s="153"/>
      <c r="N24" s="153"/>
      <c r="O24" s="153"/>
      <c r="P24" s="153"/>
      <c r="Q24" s="153">
        <v>1</v>
      </c>
      <c r="R24" s="153">
        <v>1</v>
      </c>
      <c r="S24" s="148">
        <f t="shared" si="0"/>
        <v>2</v>
      </c>
    </row>
    <row r="25" spans="1:19" ht="218.4" x14ac:dyDescent="0.25">
      <c r="A25" s="316">
        <v>5</v>
      </c>
      <c r="B25" s="319" t="s">
        <v>93</v>
      </c>
      <c r="C25" s="106"/>
      <c r="D25" s="141" t="s">
        <v>239</v>
      </c>
      <c r="E25" s="147">
        <v>4</v>
      </c>
      <c r="F25" s="152" t="s">
        <v>233</v>
      </c>
      <c r="G25" s="153"/>
      <c r="H25" s="153"/>
      <c r="I25" s="153"/>
      <c r="J25" s="153"/>
      <c r="K25" s="153"/>
      <c r="L25" s="153"/>
      <c r="M25" s="153"/>
      <c r="N25" s="153"/>
      <c r="O25" s="153">
        <v>2</v>
      </c>
      <c r="P25" s="153">
        <v>1</v>
      </c>
      <c r="Q25" s="153">
        <v>1</v>
      </c>
      <c r="R25" s="153"/>
      <c r="S25" s="148">
        <f t="shared" si="0"/>
        <v>4</v>
      </c>
    </row>
    <row r="26" spans="1:19" ht="202.8" x14ac:dyDescent="0.25">
      <c r="A26" s="317"/>
      <c r="B26" s="320"/>
      <c r="C26" s="139" t="s">
        <v>21</v>
      </c>
      <c r="D26" s="143" t="s">
        <v>243</v>
      </c>
      <c r="E26" s="147">
        <v>3</v>
      </c>
      <c r="F26" s="152" t="s">
        <v>240</v>
      </c>
      <c r="G26" s="153"/>
      <c r="H26" s="153"/>
      <c r="I26" s="153"/>
      <c r="J26" s="153"/>
      <c r="K26" s="153"/>
      <c r="L26" s="153"/>
      <c r="M26" s="153"/>
      <c r="N26" s="153"/>
      <c r="O26" s="153"/>
      <c r="P26" s="153"/>
      <c r="Q26" s="153"/>
      <c r="R26" s="153">
        <v>3</v>
      </c>
      <c r="S26" s="148">
        <f t="shared" si="0"/>
        <v>3</v>
      </c>
    </row>
    <row r="27" spans="1:19" ht="193.2" x14ac:dyDescent="0.25">
      <c r="A27" s="318"/>
      <c r="B27" s="321"/>
      <c r="C27" s="138" t="s">
        <v>22</v>
      </c>
      <c r="D27" s="161" t="s">
        <v>312</v>
      </c>
      <c r="E27" s="147">
        <v>4</v>
      </c>
      <c r="F27" s="152" t="s">
        <v>39</v>
      </c>
      <c r="G27" s="153"/>
      <c r="H27" s="153"/>
      <c r="I27" s="153"/>
      <c r="J27" s="153"/>
      <c r="K27" s="153"/>
      <c r="L27" s="153"/>
      <c r="M27" s="153"/>
      <c r="N27" s="153"/>
      <c r="O27" s="153">
        <v>1</v>
      </c>
      <c r="P27" s="153">
        <v>2</v>
      </c>
      <c r="Q27" s="153">
        <v>1</v>
      </c>
      <c r="R27" s="153"/>
      <c r="S27" s="148">
        <f t="shared" si="0"/>
        <v>4</v>
      </c>
    </row>
    <row r="28" spans="1:19" ht="124.8" x14ac:dyDescent="0.25">
      <c r="A28" s="158">
        <v>6</v>
      </c>
      <c r="B28" s="114" t="s">
        <v>95</v>
      </c>
      <c r="C28" s="106" t="s">
        <v>20</v>
      </c>
      <c r="D28" s="130" t="s">
        <v>125</v>
      </c>
      <c r="E28" s="147">
        <v>2</v>
      </c>
      <c r="F28" s="152" t="s">
        <v>38</v>
      </c>
      <c r="G28" s="153"/>
      <c r="H28" s="153"/>
      <c r="I28" s="153"/>
      <c r="J28" s="153"/>
      <c r="K28" s="153"/>
      <c r="L28" s="153"/>
      <c r="M28" s="153"/>
      <c r="N28" s="153"/>
      <c r="O28" s="153">
        <v>1</v>
      </c>
      <c r="P28" s="153"/>
      <c r="Q28" s="153">
        <v>1</v>
      </c>
      <c r="R28" s="153"/>
      <c r="S28" s="148">
        <f t="shared" si="0"/>
        <v>2</v>
      </c>
    </row>
    <row r="29" spans="1:19" ht="140.4" x14ac:dyDescent="0.25">
      <c r="A29" s="158">
        <v>7</v>
      </c>
      <c r="B29" s="319" t="s">
        <v>96</v>
      </c>
      <c r="C29" s="106" t="s">
        <v>20</v>
      </c>
      <c r="D29" s="130" t="s">
        <v>44</v>
      </c>
      <c r="E29" s="147">
        <v>10</v>
      </c>
      <c r="F29" s="152" t="s">
        <v>39</v>
      </c>
      <c r="G29" s="153"/>
      <c r="H29" s="153"/>
      <c r="I29" s="153"/>
      <c r="J29" s="153"/>
      <c r="K29" s="153"/>
      <c r="L29" s="153"/>
      <c r="M29" s="153"/>
      <c r="N29" s="153"/>
      <c r="O29" s="153">
        <v>2</v>
      </c>
      <c r="P29" s="153">
        <v>3</v>
      </c>
      <c r="Q29" s="153">
        <v>3</v>
      </c>
      <c r="R29" s="153">
        <v>2</v>
      </c>
      <c r="S29" s="148">
        <f t="shared" si="0"/>
        <v>10</v>
      </c>
    </row>
    <row r="30" spans="1:19" ht="218.4" x14ac:dyDescent="0.25">
      <c r="A30" s="158"/>
      <c r="B30" s="320"/>
      <c r="C30" s="106" t="s">
        <v>21</v>
      </c>
      <c r="D30" s="130" t="s">
        <v>126</v>
      </c>
      <c r="E30" s="147">
        <v>2</v>
      </c>
      <c r="F30" s="152" t="s">
        <v>45</v>
      </c>
      <c r="G30" s="153"/>
      <c r="H30" s="153"/>
      <c r="I30" s="153"/>
      <c r="J30" s="153"/>
      <c r="K30" s="153"/>
      <c r="L30" s="153"/>
      <c r="M30" s="153"/>
      <c r="N30" s="153"/>
      <c r="O30" s="153">
        <v>2</v>
      </c>
      <c r="P30" s="153"/>
      <c r="Q30" s="153"/>
      <c r="R30" s="153"/>
      <c r="S30" s="148">
        <f t="shared" si="0"/>
        <v>2</v>
      </c>
    </row>
    <row r="31" spans="1:19" ht="109.2" x14ac:dyDescent="0.25">
      <c r="A31" s="158"/>
      <c r="B31" s="320"/>
      <c r="C31" s="106" t="s">
        <v>22</v>
      </c>
      <c r="D31" s="130" t="s">
        <v>127</v>
      </c>
      <c r="E31" s="147">
        <v>2</v>
      </c>
      <c r="F31" s="152" t="s">
        <v>40</v>
      </c>
      <c r="G31" s="153"/>
      <c r="H31" s="153"/>
      <c r="I31" s="153"/>
      <c r="J31" s="153"/>
      <c r="K31" s="153"/>
      <c r="L31" s="153"/>
      <c r="M31" s="153"/>
      <c r="N31" s="153"/>
      <c r="O31" s="153"/>
      <c r="P31" s="153">
        <v>1</v>
      </c>
      <c r="Q31" s="153">
        <v>1</v>
      </c>
      <c r="R31" s="153"/>
      <c r="S31" s="148">
        <f t="shared" si="0"/>
        <v>2</v>
      </c>
    </row>
    <row r="32" spans="1:19" ht="352.5" customHeight="1" x14ac:dyDescent="0.25">
      <c r="A32" s="158"/>
      <c r="B32" s="320"/>
      <c r="C32" s="106" t="s">
        <v>23</v>
      </c>
      <c r="D32" s="130" t="s">
        <v>98</v>
      </c>
      <c r="E32" s="147">
        <v>1</v>
      </c>
      <c r="F32" s="152" t="s">
        <v>39</v>
      </c>
      <c r="G32" s="153"/>
      <c r="H32" s="153"/>
      <c r="I32" s="153"/>
      <c r="J32" s="153"/>
      <c r="K32" s="153"/>
      <c r="L32" s="153"/>
      <c r="M32" s="153"/>
      <c r="N32" s="153"/>
      <c r="O32" s="153"/>
      <c r="P32" s="153"/>
      <c r="Q32" s="153"/>
      <c r="R32" s="153">
        <v>1</v>
      </c>
      <c r="S32" s="148">
        <f t="shared" si="0"/>
        <v>1</v>
      </c>
    </row>
    <row r="33" spans="1:19" ht="156" x14ac:dyDescent="0.25">
      <c r="A33" s="158"/>
      <c r="B33" s="320"/>
      <c r="C33" s="106" t="s">
        <v>24</v>
      </c>
      <c r="D33" s="130" t="s">
        <v>99</v>
      </c>
      <c r="E33" s="147">
        <v>10</v>
      </c>
      <c r="F33" s="152" t="s">
        <v>128</v>
      </c>
      <c r="G33" s="153"/>
      <c r="H33" s="153"/>
      <c r="I33" s="153"/>
      <c r="J33" s="153"/>
      <c r="K33" s="153"/>
      <c r="L33" s="153"/>
      <c r="M33" s="153"/>
      <c r="N33" s="153"/>
      <c r="O33" s="153">
        <v>3</v>
      </c>
      <c r="P33" s="153">
        <v>3</v>
      </c>
      <c r="Q33" s="153">
        <v>2</v>
      </c>
      <c r="R33" s="153">
        <v>2</v>
      </c>
      <c r="S33" s="148">
        <f t="shared" si="0"/>
        <v>10</v>
      </c>
    </row>
    <row r="34" spans="1:19" ht="296.39999999999998" x14ac:dyDescent="0.25">
      <c r="A34" s="316">
        <v>6</v>
      </c>
      <c r="B34" s="320"/>
      <c r="C34" s="200" t="s">
        <v>25</v>
      </c>
      <c r="D34" s="201" t="s">
        <v>49</v>
      </c>
      <c r="E34" s="202">
        <v>10</v>
      </c>
      <c r="F34" s="203" t="s">
        <v>39</v>
      </c>
      <c r="G34" s="204"/>
      <c r="H34" s="204"/>
      <c r="I34" s="204"/>
      <c r="J34" s="204"/>
      <c r="K34" s="204"/>
      <c r="L34" s="204"/>
      <c r="M34" s="204"/>
      <c r="N34" s="204"/>
      <c r="O34" s="204">
        <v>2</v>
      </c>
      <c r="P34" s="204">
        <v>2</v>
      </c>
      <c r="Q34" s="204">
        <v>3</v>
      </c>
      <c r="R34" s="204">
        <v>3</v>
      </c>
      <c r="S34" s="205">
        <f t="shared" si="0"/>
        <v>10</v>
      </c>
    </row>
    <row r="35" spans="1:19" ht="124.8" x14ac:dyDescent="0.25">
      <c r="A35" s="317"/>
      <c r="B35" s="320"/>
      <c r="C35" s="106" t="s">
        <v>26</v>
      </c>
      <c r="D35" s="130" t="s">
        <v>241</v>
      </c>
      <c r="E35" s="147">
        <v>2</v>
      </c>
      <c r="F35" s="152" t="s">
        <v>38</v>
      </c>
      <c r="G35" s="153"/>
      <c r="H35" s="153"/>
      <c r="I35" s="153"/>
      <c r="J35" s="153"/>
      <c r="K35" s="153"/>
      <c r="L35" s="153"/>
      <c r="M35" s="153"/>
      <c r="N35" s="153"/>
      <c r="O35" s="153"/>
      <c r="P35" s="153">
        <v>1</v>
      </c>
      <c r="Q35" s="153"/>
      <c r="R35" s="153">
        <v>1</v>
      </c>
      <c r="S35" s="148">
        <f t="shared" si="0"/>
        <v>2</v>
      </c>
    </row>
    <row r="36" spans="1:19" ht="62.4" x14ac:dyDescent="0.25">
      <c r="A36" s="317"/>
      <c r="B36" s="320"/>
      <c r="C36" s="106" t="s">
        <v>27</v>
      </c>
      <c r="D36" s="130" t="s">
        <v>51</v>
      </c>
      <c r="E36" s="147">
        <v>1</v>
      </c>
      <c r="F36" s="152" t="s">
        <v>38</v>
      </c>
      <c r="G36" s="153"/>
      <c r="H36" s="153"/>
      <c r="I36" s="153"/>
      <c r="J36" s="153"/>
      <c r="K36" s="153"/>
      <c r="L36" s="153"/>
      <c r="M36" s="153"/>
      <c r="N36" s="153"/>
      <c r="O36" s="153">
        <v>1</v>
      </c>
      <c r="P36" s="153"/>
      <c r="Q36" s="153"/>
      <c r="R36" s="153"/>
      <c r="S36" s="148">
        <f t="shared" si="0"/>
        <v>1</v>
      </c>
    </row>
    <row r="37" spans="1:19" ht="140.4" x14ac:dyDescent="0.25">
      <c r="A37" s="317"/>
      <c r="B37" s="320"/>
      <c r="C37" s="106" t="s">
        <v>29</v>
      </c>
      <c r="D37" s="130" t="s">
        <v>238</v>
      </c>
      <c r="E37" s="147">
        <v>2</v>
      </c>
      <c r="F37" s="152" t="s">
        <v>38</v>
      </c>
      <c r="G37" s="153"/>
      <c r="H37" s="153"/>
      <c r="I37" s="153"/>
      <c r="J37" s="153"/>
      <c r="K37" s="153"/>
      <c r="L37" s="153"/>
      <c r="M37" s="153"/>
      <c r="N37" s="153"/>
      <c r="O37" s="153">
        <v>2</v>
      </c>
      <c r="P37" s="153"/>
      <c r="Q37" s="153"/>
      <c r="R37" s="153"/>
      <c r="S37" s="148">
        <f t="shared" si="0"/>
        <v>2</v>
      </c>
    </row>
    <row r="38" spans="1:19" ht="140.4" x14ac:dyDescent="0.25">
      <c r="A38" s="317"/>
      <c r="B38" s="320"/>
      <c r="C38" s="135" t="s">
        <v>29</v>
      </c>
      <c r="D38" s="130" t="s">
        <v>129</v>
      </c>
      <c r="E38" s="147">
        <v>10</v>
      </c>
      <c r="F38" s="152" t="s">
        <v>38</v>
      </c>
      <c r="G38" s="153"/>
      <c r="H38" s="153"/>
      <c r="I38" s="153"/>
      <c r="J38" s="153"/>
      <c r="K38" s="153"/>
      <c r="L38" s="153"/>
      <c r="M38" s="153"/>
      <c r="N38" s="153"/>
      <c r="O38" s="153">
        <v>2</v>
      </c>
      <c r="P38" s="153">
        <v>3</v>
      </c>
      <c r="Q38" s="153">
        <v>2</v>
      </c>
      <c r="R38" s="153">
        <v>3</v>
      </c>
      <c r="S38" s="148">
        <f t="shared" si="0"/>
        <v>10</v>
      </c>
    </row>
    <row r="39" spans="1:19" ht="46.8" x14ac:dyDescent="0.25">
      <c r="A39" s="317"/>
      <c r="B39" s="320"/>
      <c r="C39" s="135" t="s">
        <v>30</v>
      </c>
      <c r="D39" s="114" t="s">
        <v>299</v>
      </c>
      <c r="E39" s="147">
        <v>20</v>
      </c>
      <c r="F39" s="152" t="s">
        <v>101</v>
      </c>
      <c r="G39" s="153"/>
      <c r="H39" s="153"/>
      <c r="I39" s="153"/>
      <c r="J39" s="153"/>
      <c r="K39" s="153"/>
      <c r="L39" s="153"/>
      <c r="M39" s="153"/>
      <c r="N39" s="153"/>
      <c r="O39" s="153">
        <v>5</v>
      </c>
      <c r="P39" s="153">
        <v>5</v>
      </c>
      <c r="Q39" s="153">
        <v>5</v>
      </c>
      <c r="R39" s="153">
        <v>5</v>
      </c>
      <c r="S39" s="148">
        <f t="shared" si="0"/>
        <v>20</v>
      </c>
    </row>
    <row r="40" spans="1:19" ht="109.2" x14ac:dyDescent="0.25">
      <c r="A40" s="317"/>
      <c r="B40" s="321"/>
      <c r="C40" s="131" t="s">
        <v>31</v>
      </c>
      <c r="D40" s="132" t="s">
        <v>245</v>
      </c>
      <c r="E40" s="155">
        <v>5</v>
      </c>
      <c r="F40" s="155" t="s">
        <v>38</v>
      </c>
      <c r="G40" s="156"/>
      <c r="H40" s="156"/>
      <c r="I40" s="156"/>
      <c r="J40" s="156"/>
      <c r="K40" s="156"/>
      <c r="L40" s="156"/>
      <c r="M40" s="156"/>
      <c r="N40" s="156"/>
      <c r="O40" s="156">
        <v>1</v>
      </c>
      <c r="P40" s="156">
        <v>2</v>
      </c>
      <c r="Q40" s="156">
        <v>1</v>
      </c>
      <c r="R40" s="156">
        <v>1</v>
      </c>
      <c r="S40" s="148">
        <f t="shared" si="0"/>
        <v>5</v>
      </c>
    </row>
    <row r="41" spans="1:19" ht="33.6" customHeight="1" x14ac:dyDescent="0.3">
      <c r="A41" s="313" t="s">
        <v>74</v>
      </c>
      <c r="B41" s="314"/>
      <c r="C41" s="314"/>
      <c r="D41" s="315"/>
      <c r="E41" s="155">
        <f>SUM(E9:E40)</f>
        <v>177</v>
      </c>
      <c r="F41" s="154"/>
      <c r="G41" s="154">
        <f t="shared" ref="G41:S41" si="2">SUM(G9:G40)</f>
        <v>0</v>
      </c>
      <c r="H41" s="154">
        <f t="shared" si="2"/>
        <v>0</v>
      </c>
      <c r="I41" s="154">
        <f t="shared" si="2"/>
        <v>0</v>
      </c>
      <c r="J41" s="154">
        <f t="shared" si="2"/>
        <v>0</v>
      </c>
      <c r="K41" s="154">
        <f t="shared" si="2"/>
        <v>0</v>
      </c>
      <c r="L41" s="154">
        <f t="shared" si="2"/>
        <v>0</v>
      </c>
      <c r="M41" s="154">
        <f t="shared" si="2"/>
        <v>0</v>
      </c>
      <c r="N41" s="155">
        <f t="shared" si="2"/>
        <v>0</v>
      </c>
      <c r="O41" s="155">
        <f t="shared" si="2"/>
        <v>45</v>
      </c>
      <c r="P41" s="155">
        <f t="shared" si="2"/>
        <v>47</v>
      </c>
      <c r="Q41" s="155">
        <f t="shared" si="2"/>
        <v>45</v>
      </c>
      <c r="R41" s="155">
        <f t="shared" si="2"/>
        <v>40</v>
      </c>
      <c r="S41" s="155">
        <f t="shared" si="2"/>
        <v>177</v>
      </c>
    </row>
    <row r="42" spans="1:19" x14ac:dyDescent="0.25">
      <c r="E42" s="92"/>
    </row>
    <row r="43" spans="1:19" x14ac:dyDescent="0.3">
      <c r="O43" s="312" t="s">
        <v>328</v>
      </c>
      <c r="P43" s="312"/>
      <c r="Q43" s="312"/>
      <c r="R43" s="312"/>
      <c r="S43" s="312"/>
    </row>
    <row r="44" spans="1:19" x14ac:dyDescent="0.3">
      <c r="F44" s="127">
        <f>E41/5</f>
        <v>35.4</v>
      </c>
      <c r="O44" s="298" t="s">
        <v>54</v>
      </c>
      <c r="P44" s="298"/>
      <c r="Q44" s="298"/>
      <c r="R44" s="298"/>
      <c r="S44" s="298"/>
    </row>
    <row r="45" spans="1:19" x14ac:dyDescent="0.25">
      <c r="B45" s="298" t="s">
        <v>317</v>
      </c>
      <c r="C45" s="298"/>
      <c r="D45" s="298"/>
      <c r="E45" s="298"/>
      <c r="O45" s="298" t="s">
        <v>130</v>
      </c>
      <c r="P45" s="298"/>
      <c r="Q45" s="298"/>
      <c r="R45" s="298"/>
      <c r="S45" s="298"/>
    </row>
    <row r="48" spans="1:19" x14ac:dyDescent="0.25">
      <c r="B48" s="298" t="str">
        <f>CARIK!B46</f>
        <v>SUNARDI</v>
      </c>
      <c r="C48" s="298"/>
      <c r="D48" s="298"/>
      <c r="E48" s="298"/>
      <c r="O48" s="298" t="str">
        <f>D3</f>
        <v>SARIDI</v>
      </c>
      <c r="P48" s="298"/>
      <c r="Q48" s="298"/>
      <c r="R48" s="298"/>
      <c r="S48" s="298"/>
    </row>
  </sheetData>
  <mergeCells count="24">
    <mergeCell ref="B45:E45"/>
    <mergeCell ref="O45:S45"/>
    <mergeCell ref="B48:E48"/>
    <mergeCell ref="O48:S48"/>
    <mergeCell ref="E8:F8"/>
    <mergeCell ref="O43:S43"/>
    <mergeCell ref="O44:S44"/>
    <mergeCell ref="A41:D41"/>
    <mergeCell ref="A25:A27"/>
    <mergeCell ref="B25:B27"/>
    <mergeCell ref="B29:B40"/>
    <mergeCell ref="A34:A40"/>
    <mergeCell ref="B9:B16"/>
    <mergeCell ref="A18:A22"/>
    <mergeCell ref="B18:B22"/>
    <mergeCell ref="A9:A17"/>
    <mergeCell ref="A1:S1"/>
    <mergeCell ref="A6:A7"/>
    <mergeCell ref="B6:B7"/>
    <mergeCell ref="C6:C7"/>
    <mergeCell ref="D6:D7"/>
    <mergeCell ref="E6:F7"/>
    <mergeCell ref="S6:S7"/>
    <mergeCell ref="D3:F3"/>
  </mergeCells>
  <pageMargins left="0.51181102362204722" right="0.15748031496062992" top="0.94488188976377963" bottom="0.74803149606299213" header="0.31496062992125984" footer="0.31496062992125984"/>
  <pageSetup paperSize="14" scale="85" fitToHeight="8"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S58"/>
  <sheetViews>
    <sheetView view="pageBreakPreview" topLeftCell="A49" zoomScaleNormal="100" zoomScaleSheetLayoutView="100" workbookViewId="0">
      <selection activeCell="O54" sqref="O54:S54"/>
    </sheetView>
  </sheetViews>
  <sheetFormatPr defaultColWidth="9.109375" defaultRowHeight="15.6" x14ac:dyDescent="0.3"/>
  <cols>
    <col min="1" max="1" width="5" style="174" customWidth="1"/>
    <col min="2" max="2" width="13.88671875" style="174" customWidth="1"/>
    <col min="3" max="3" width="5.33203125" style="174" customWidth="1"/>
    <col min="4" max="4" width="24.33203125" style="178" customWidth="1"/>
    <col min="5" max="5" width="6.33203125" style="235" customWidth="1"/>
    <col min="6" max="6" width="10.33203125" style="174" customWidth="1"/>
    <col min="7" max="13" width="8.6640625" style="174" hidden="1" customWidth="1"/>
    <col min="14" max="16" width="8.6640625" style="174" customWidth="1"/>
    <col min="17" max="17" width="7.5546875" style="174" customWidth="1"/>
    <col min="18" max="18" width="8.6640625" style="174" customWidth="1"/>
    <col min="19" max="19" width="10.109375" style="174" customWidth="1"/>
    <col min="20" max="16384" width="9.109375" style="174"/>
  </cols>
  <sheetData>
    <row r="1" spans="1:19" x14ac:dyDescent="0.3">
      <c r="A1" s="325" t="s">
        <v>0</v>
      </c>
      <c r="B1" s="325"/>
      <c r="C1" s="325"/>
      <c r="D1" s="325"/>
      <c r="E1" s="325"/>
      <c r="F1" s="325"/>
      <c r="G1" s="325"/>
      <c r="H1" s="325"/>
      <c r="I1" s="325"/>
      <c r="J1" s="325"/>
      <c r="K1" s="325"/>
      <c r="L1" s="325"/>
      <c r="M1" s="325"/>
      <c r="N1" s="325"/>
      <c r="O1" s="325"/>
      <c r="P1" s="325"/>
      <c r="Q1" s="325"/>
      <c r="R1" s="325"/>
      <c r="S1" s="325"/>
    </row>
    <row r="2" spans="1:19" x14ac:dyDescent="0.3">
      <c r="A2" s="176"/>
      <c r="B2" s="176"/>
      <c r="C2" s="144"/>
      <c r="D2" s="176"/>
      <c r="E2" s="234"/>
      <c r="F2" s="176"/>
      <c r="G2" s="176"/>
      <c r="H2" s="176"/>
      <c r="I2" s="176"/>
      <c r="J2" s="176"/>
      <c r="K2" s="176"/>
      <c r="L2" s="176"/>
      <c r="M2" s="176"/>
      <c r="N2" s="176"/>
      <c r="O2" s="176"/>
      <c r="P2" s="176"/>
      <c r="Q2" s="176"/>
      <c r="R2" s="176"/>
      <c r="S2" s="176"/>
    </row>
    <row r="3" spans="1:19" x14ac:dyDescent="0.3">
      <c r="A3" s="174" t="s">
        <v>1</v>
      </c>
      <c r="C3" s="174" t="s">
        <v>318</v>
      </c>
      <c r="D3" s="175" t="s">
        <v>325</v>
      </c>
    </row>
    <row r="4" spans="1:19" x14ac:dyDescent="0.3">
      <c r="A4" s="174" t="s">
        <v>2</v>
      </c>
      <c r="C4" s="174" t="s">
        <v>318</v>
      </c>
      <c r="D4" s="175" t="s">
        <v>141</v>
      </c>
    </row>
    <row r="5" spans="1:19" x14ac:dyDescent="0.3">
      <c r="D5" s="175"/>
    </row>
    <row r="6" spans="1:19" x14ac:dyDescent="0.3">
      <c r="A6" s="308" t="s">
        <v>3</v>
      </c>
      <c r="B6" s="308" t="s">
        <v>4</v>
      </c>
      <c r="C6" s="326"/>
      <c r="D6" s="308" t="s">
        <v>5</v>
      </c>
      <c r="E6" s="308" t="s">
        <v>6</v>
      </c>
      <c r="F6" s="308"/>
      <c r="G6" s="308" t="s">
        <v>105</v>
      </c>
      <c r="H6" s="308"/>
      <c r="I6" s="308"/>
      <c r="J6" s="308"/>
      <c r="K6" s="308"/>
      <c r="L6" s="308"/>
      <c r="M6" s="308"/>
      <c r="N6" s="308"/>
      <c r="O6" s="308"/>
      <c r="P6" s="308"/>
      <c r="Q6" s="308"/>
      <c r="R6" s="308"/>
      <c r="S6" s="308" t="s">
        <v>7</v>
      </c>
    </row>
    <row r="7" spans="1:19" x14ac:dyDescent="0.3">
      <c r="A7" s="308"/>
      <c r="B7" s="308"/>
      <c r="C7" s="326"/>
      <c r="D7" s="308"/>
      <c r="E7" s="308"/>
      <c r="F7" s="308"/>
      <c r="G7" s="159" t="s">
        <v>8</v>
      </c>
      <c r="H7" s="159" t="s">
        <v>9</v>
      </c>
      <c r="I7" s="159" t="s">
        <v>10</v>
      </c>
      <c r="J7" s="159" t="s">
        <v>11</v>
      </c>
      <c r="K7" s="159" t="s">
        <v>12</v>
      </c>
      <c r="L7" s="159" t="s">
        <v>13</v>
      </c>
      <c r="M7" s="159" t="s">
        <v>14</v>
      </c>
      <c r="N7" s="159" t="s">
        <v>15</v>
      </c>
      <c r="O7" s="159" t="s">
        <v>16</v>
      </c>
      <c r="P7" s="159" t="s">
        <v>17</v>
      </c>
      <c r="Q7" s="159" t="s">
        <v>18</v>
      </c>
      <c r="R7" s="159" t="s">
        <v>19</v>
      </c>
      <c r="S7" s="308"/>
    </row>
    <row r="8" spans="1:19" x14ac:dyDescent="0.3">
      <c r="A8" s="160" t="s">
        <v>20</v>
      </c>
      <c r="B8" s="160" t="s">
        <v>21</v>
      </c>
      <c r="C8" s="236"/>
      <c r="D8" s="160" t="s">
        <v>22</v>
      </c>
      <c r="E8" s="328" t="s">
        <v>23</v>
      </c>
      <c r="F8" s="328"/>
      <c r="G8" s="160" t="s">
        <v>24</v>
      </c>
      <c r="H8" s="160" t="s">
        <v>25</v>
      </c>
      <c r="I8" s="160" t="s">
        <v>26</v>
      </c>
      <c r="J8" s="160" t="s">
        <v>27</v>
      </c>
      <c r="K8" s="160" t="s">
        <v>28</v>
      </c>
      <c r="L8" s="160" t="s">
        <v>29</v>
      </c>
      <c r="M8" s="160" t="s">
        <v>30</v>
      </c>
      <c r="N8" s="160" t="s">
        <v>31</v>
      </c>
      <c r="O8" s="160" t="s">
        <v>32</v>
      </c>
      <c r="P8" s="160" t="s">
        <v>33</v>
      </c>
      <c r="Q8" s="160" t="s">
        <v>34</v>
      </c>
      <c r="R8" s="160" t="s">
        <v>35</v>
      </c>
      <c r="S8" s="160" t="s">
        <v>36</v>
      </c>
    </row>
    <row r="9" spans="1:19" x14ac:dyDescent="0.3">
      <c r="A9" s="162"/>
      <c r="B9" s="162"/>
      <c r="C9" s="237"/>
      <c r="D9" s="163"/>
      <c r="E9" s="329"/>
      <c r="F9" s="329"/>
      <c r="G9" s="162"/>
      <c r="H9" s="162"/>
      <c r="I9" s="162"/>
      <c r="J9" s="162"/>
      <c r="K9" s="162"/>
      <c r="L9" s="162"/>
      <c r="M9" s="162"/>
      <c r="N9" s="162"/>
      <c r="O9" s="162"/>
      <c r="P9" s="162"/>
      <c r="Q9" s="162"/>
      <c r="R9" s="162"/>
      <c r="S9" s="162"/>
    </row>
    <row r="10" spans="1:19" ht="187.2" x14ac:dyDescent="0.3">
      <c r="A10" s="166">
        <v>1</v>
      </c>
      <c r="B10" s="166" t="s">
        <v>131</v>
      </c>
      <c r="C10" s="166" t="s">
        <v>20</v>
      </c>
      <c r="D10" s="141" t="s">
        <v>79</v>
      </c>
      <c r="E10" s="186">
        <v>5</v>
      </c>
      <c r="F10" s="141" t="s">
        <v>37</v>
      </c>
      <c r="G10" s="166"/>
      <c r="H10" s="166"/>
      <c r="I10" s="166"/>
      <c r="J10" s="166"/>
      <c r="K10" s="166"/>
      <c r="L10" s="166"/>
      <c r="M10" s="166"/>
      <c r="N10" s="166"/>
      <c r="O10" s="166">
        <v>3</v>
      </c>
      <c r="P10" s="166"/>
      <c r="Q10" s="166">
        <v>2</v>
      </c>
      <c r="R10" s="166"/>
      <c r="S10" s="166">
        <f>SUM(N10:R10)</f>
        <v>5</v>
      </c>
    </row>
    <row r="11" spans="1:19" ht="109.2" x14ac:dyDescent="0.3">
      <c r="A11" s="296"/>
      <c r="B11" s="308"/>
      <c r="C11" s="133" t="s">
        <v>21</v>
      </c>
      <c r="D11" s="173" t="s">
        <v>276</v>
      </c>
      <c r="E11" s="186">
        <v>2</v>
      </c>
      <c r="F11" s="165" t="s">
        <v>38</v>
      </c>
      <c r="G11" s="165"/>
      <c r="H11" s="165"/>
      <c r="I11" s="165"/>
      <c r="J11" s="165"/>
      <c r="K11" s="165"/>
      <c r="L11" s="165"/>
      <c r="M11" s="165"/>
      <c r="N11" s="165"/>
      <c r="O11" s="165">
        <v>1</v>
      </c>
      <c r="P11" s="165"/>
      <c r="Q11" s="165"/>
      <c r="R11" s="165">
        <v>1</v>
      </c>
      <c r="S11" s="166">
        <f t="shared" ref="S11:S46" si="0">SUM(N11:R11)</f>
        <v>2</v>
      </c>
    </row>
    <row r="12" spans="1:19" ht="202.8" x14ac:dyDescent="0.3">
      <c r="A12" s="297"/>
      <c r="B12" s="308"/>
      <c r="C12" s="166" t="s">
        <v>22</v>
      </c>
      <c r="D12" s="141" t="s">
        <v>132</v>
      </c>
      <c r="E12" s="186">
        <v>5</v>
      </c>
      <c r="F12" s="165" t="s">
        <v>124</v>
      </c>
      <c r="G12" s="165"/>
      <c r="H12" s="165"/>
      <c r="I12" s="165"/>
      <c r="J12" s="165"/>
      <c r="K12" s="165"/>
      <c r="L12" s="165"/>
      <c r="M12" s="165"/>
      <c r="N12" s="165"/>
      <c r="O12" s="165">
        <v>2</v>
      </c>
      <c r="P12" s="165">
        <v>2</v>
      </c>
      <c r="Q12" s="165"/>
      <c r="R12" s="165">
        <v>1</v>
      </c>
      <c r="S12" s="166">
        <f t="shared" si="0"/>
        <v>5</v>
      </c>
    </row>
    <row r="13" spans="1:19" ht="202.8" x14ac:dyDescent="0.3">
      <c r="A13" s="297"/>
      <c r="B13" s="308"/>
      <c r="C13" s="166" t="s">
        <v>23</v>
      </c>
      <c r="D13" s="173" t="s">
        <v>133</v>
      </c>
      <c r="E13" s="186">
        <v>10</v>
      </c>
      <c r="F13" s="167" t="s">
        <v>39</v>
      </c>
      <c r="G13" s="167"/>
      <c r="H13" s="167"/>
      <c r="I13" s="167"/>
      <c r="J13" s="167"/>
      <c r="K13" s="167"/>
      <c r="L13" s="167"/>
      <c r="M13" s="167"/>
      <c r="N13" s="167"/>
      <c r="O13" s="167">
        <v>3</v>
      </c>
      <c r="P13" s="167">
        <v>3</v>
      </c>
      <c r="Q13" s="167">
        <v>2</v>
      </c>
      <c r="R13" s="167">
        <v>2</v>
      </c>
      <c r="S13" s="166">
        <f t="shared" si="0"/>
        <v>10</v>
      </c>
    </row>
    <row r="14" spans="1:19" ht="62.4" x14ac:dyDescent="0.3">
      <c r="A14" s="297"/>
      <c r="B14" s="308"/>
      <c r="C14" s="166" t="s">
        <v>24</v>
      </c>
      <c r="D14" s="173" t="s">
        <v>262</v>
      </c>
      <c r="E14" s="186">
        <v>1</v>
      </c>
      <c r="F14" s="167"/>
      <c r="G14" s="167"/>
      <c r="H14" s="167"/>
      <c r="I14" s="167"/>
      <c r="J14" s="167"/>
      <c r="K14" s="167"/>
      <c r="L14" s="167"/>
      <c r="M14" s="167"/>
      <c r="N14" s="167"/>
      <c r="O14" s="167">
        <v>1</v>
      </c>
      <c r="P14" s="167"/>
      <c r="Q14" s="167"/>
      <c r="R14" s="167"/>
      <c r="S14" s="166">
        <f t="shared" si="0"/>
        <v>1</v>
      </c>
    </row>
    <row r="15" spans="1:19" ht="171.6" x14ac:dyDescent="0.3">
      <c r="A15" s="297"/>
      <c r="B15" s="308"/>
      <c r="C15" s="133" t="s">
        <v>25</v>
      </c>
      <c r="D15" s="141" t="s">
        <v>263</v>
      </c>
      <c r="E15" s="186">
        <v>5</v>
      </c>
      <c r="F15" s="165" t="s">
        <v>39</v>
      </c>
      <c r="G15" s="165"/>
      <c r="H15" s="165"/>
      <c r="I15" s="165"/>
      <c r="J15" s="165"/>
      <c r="K15" s="165"/>
      <c r="L15" s="165"/>
      <c r="M15" s="165"/>
      <c r="N15" s="165"/>
      <c r="O15" s="165">
        <v>1</v>
      </c>
      <c r="P15" s="165">
        <v>1</v>
      </c>
      <c r="Q15" s="165">
        <v>2</v>
      </c>
      <c r="R15" s="165">
        <v>1</v>
      </c>
      <c r="S15" s="166">
        <f t="shared" si="0"/>
        <v>5</v>
      </c>
    </row>
    <row r="16" spans="1:19" ht="46.8" x14ac:dyDescent="0.3">
      <c r="A16" s="297"/>
      <c r="B16" s="308"/>
      <c r="C16" s="166" t="s">
        <v>26</v>
      </c>
      <c r="D16" s="141" t="s">
        <v>303</v>
      </c>
      <c r="E16" s="186">
        <v>10</v>
      </c>
      <c r="F16" s="165" t="s">
        <v>38</v>
      </c>
      <c r="G16" s="165"/>
      <c r="H16" s="165"/>
      <c r="I16" s="165"/>
      <c r="J16" s="165"/>
      <c r="K16" s="165"/>
      <c r="L16" s="165"/>
      <c r="M16" s="165"/>
      <c r="N16" s="165"/>
      <c r="O16" s="165">
        <v>2</v>
      </c>
      <c r="P16" s="165">
        <v>3</v>
      </c>
      <c r="Q16" s="165">
        <v>3</v>
      </c>
      <c r="R16" s="165">
        <v>2</v>
      </c>
      <c r="S16" s="166">
        <f>SUM(N16:R16)</f>
        <v>10</v>
      </c>
    </row>
    <row r="17" spans="1:19" ht="187.2" x14ac:dyDescent="0.3">
      <c r="A17" s="297"/>
      <c r="B17" s="308"/>
      <c r="C17" s="166" t="s">
        <v>27</v>
      </c>
      <c r="D17" s="251" t="s">
        <v>304</v>
      </c>
      <c r="E17" s="188">
        <v>9</v>
      </c>
      <c r="F17" s="165" t="s">
        <v>38</v>
      </c>
      <c r="G17" s="165"/>
      <c r="H17" s="165"/>
      <c r="I17" s="165"/>
      <c r="J17" s="165"/>
      <c r="K17" s="165"/>
      <c r="L17" s="165"/>
      <c r="M17" s="165"/>
      <c r="N17" s="165"/>
      <c r="O17" s="165">
        <v>3</v>
      </c>
      <c r="P17" s="165">
        <v>3</v>
      </c>
      <c r="Q17" s="165">
        <v>2</v>
      </c>
      <c r="R17" s="165">
        <v>1</v>
      </c>
      <c r="S17" s="166">
        <f t="shared" si="0"/>
        <v>9</v>
      </c>
    </row>
    <row r="18" spans="1:19" ht="31.2" x14ac:dyDescent="0.3">
      <c r="A18" s="297"/>
      <c r="B18" s="308"/>
      <c r="C18" s="166" t="s">
        <v>28</v>
      </c>
      <c r="D18" s="141" t="s">
        <v>264</v>
      </c>
      <c r="E18" s="188">
        <v>5</v>
      </c>
      <c r="F18" s="165" t="s">
        <v>101</v>
      </c>
      <c r="G18" s="165"/>
      <c r="H18" s="165"/>
      <c r="I18" s="165"/>
      <c r="J18" s="165"/>
      <c r="K18" s="165"/>
      <c r="L18" s="165"/>
      <c r="M18" s="165"/>
      <c r="N18" s="165"/>
      <c r="O18" s="165">
        <v>1</v>
      </c>
      <c r="P18" s="165">
        <v>1</v>
      </c>
      <c r="Q18" s="165">
        <v>1</v>
      </c>
      <c r="R18" s="165">
        <v>2</v>
      </c>
      <c r="S18" s="166">
        <f t="shared" si="0"/>
        <v>5</v>
      </c>
    </row>
    <row r="19" spans="1:19" ht="93.6" x14ac:dyDescent="0.3">
      <c r="A19" s="330"/>
      <c r="B19" s="308"/>
      <c r="C19" s="166" t="s">
        <v>29</v>
      </c>
      <c r="D19" s="141" t="s">
        <v>275</v>
      </c>
      <c r="E19" s="188">
        <v>5</v>
      </c>
      <c r="F19" s="165" t="s">
        <v>265</v>
      </c>
      <c r="G19" s="165"/>
      <c r="H19" s="165"/>
      <c r="I19" s="165"/>
      <c r="J19" s="165"/>
      <c r="K19" s="165"/>
      <c r="L19" s="165"/>
      <c r="M19" s="165"/>
      <c r="N19" s="165"/>
      <c r="O19" s="165"/>
      <c r="P19" s="165">
        <v>2</v>
      </c>
      <c r="Q19" s="165">
        <v>2</v>
      </c>
      <c r="R19" s="165">
        <v>1</v>
      </c>
      <c r="S19" s="166">
        <f t="shared" si="0"/>
        <v>5</v>
      </c>
    </row>
    <row r="20" spans="1:19" ht="265.2" x14ac:dyDescent="0.3">
      <c r="A20" s="147">
        <v>2</v>
      </c>
      <c r="B20" s="182" t="s">
        <v>134</v>
      </c>
      <c r="C20" s="147" t="s">
        <v>20</v>
      </c>
      <c r="D20" s="224" t="s">
        <v>266</v>
      </c>
      <c r="E20" s="189">
        <v>1</v>
      </c>
      <c r="F20" s="182" t="s">
        <v>38</v>
      </c>
      <c r="G20" s="182"/>
      <c r="H20" s="182"/>
      <c r="I20" s="182"/>
      <c r="J20" s="182"/>
      <c r="K20" s="182"/>
      <c r="L20" s="182"/>
      <c r="M20" s="182"/>
      <c r="N20" s="182"/>
      <c r="O20" s="182">
        <v>1</v>
      </c>
      <c r="P20" s="182"/>
      <c r="Q20" s="182"/>
      <c r="R20" s="182"/>
      <c r="S20" s="166">
        <f t="shared" si="0"/>
        <v>1</v>
      </c>
    </row>
    <row r="21" spans="1:19" s="183" customFormat="1" ht="202.8" x14ac:dyDescent="0.3">
      <c r="A21" s="147"/>
      <c r="B21" s="247"/>
      <c r="C21" s="147" t="s">
        <v>21</v>
      </c>
      <c r="D21" s="224" t="s">
        <v>280</v>
      </c>
      <c r="E21" s="189">
        <v>1</v>
      </c>
      <c r="F21" s="182" t="s">
        <v>37</v>
      </c>
      <c r="G21" s="182"/>
      <c r="H21" s="182"/>
      <c r="I21" s="182"/>
      <c r="J21" s="182"/>
      <c r="K21" s="182"/>
      <c r="L21" s="182"/>
      <c r="M21" s="182"/>
      <c r="N21" s="182"/>
      <c r="O21" s="182"/>
      <c r="P21" s="182">
        <v>1</v>
      </c>
      <c r="Q21" s="182"/>
      <c r="R21" s="182"/>
      <c r="S21" s="147">
        <f t="shared" si="0"/>
        <v>1</v>
      </c>
    </row>
    <row r="22" spans="1:19" ht="280.8" x14ac:dyDescent="0.3">
      <c r="A22" s="105">
        <v>3</v>
      </c>
      <c r="B22" s="294" t="s">
        <v>135</v>
      </c>
      <c r="C22" s="166" t="s">
        <v>20</v>
      </c>
      <c r="D22" s="173" t="s">
        <v>98</v>
      </c>
      <c r="E22" s="188">
        <v>1</v>
      </c>
      <c r="F22" s="165" t="s">
        <v>39</v>
      </c>
      <c r="G22" s="165"/>
      <c r="H22" s="165"/>
      <c r="I22" s="165"/>
      <c r="J22" s="165"/>
      <c r="K22" s="165"/>
      <c r="L22" s="165"/>
      <c r="M22" s="165"/>
      <c r="N22" s="165"/>
      <c r="O22" s="165"/>
      <c r="P22" s="165"/>
      <c r="Q22" s="165"/>
      <c r="R22" s="165">
        <v>1</v>
      </c>
      <c r="S22" s="166">
        <f t="shared" si="0"/>
        <v>1</v>
      </c>
    </row>
    <row r="23" spans="1:19" ht="62.4" x14ac:dyDescent="0.3">
      <c r="A23" s="296"/>
      <c r="B23" s="295"/>
      <c r="C23" s="166" t="s">
        <v>21</v>
      </c>
      <c r="D23" s="173" t="s">
        <v>267</v>
      </c>
      <c r="E23" s="188">
        <v>1</v>
      </c>
      <c r="F23" s="165" t="s">
        <v>229</v>
      </c>
      <c r="G23" s="165"/>
      <c r="H23" s="165"/>
      <c r="I23" s="165"/>
      <c r="J23" s="165"/>
      <c r="K23" s="165"/>
      <c r="L23" s="165"/>
      <c r="M23" s="165"/>
      <c r="N23" s="165"/>
      <c r="O23" s="165"/>
      <c r="P23" s="165"/>
      <c r="Q23" s="165">
        <v>1</v>
      </c>
      <c r="R23" s="165"/>
      <c r="S23" s="166">
        <f t="shared" si="0"/>
        <v>1</v>
      </c>
    </row>
    <row r="24" spans="1:19" ht="31.2" x14ac:dyDescent="0.3">
      <c r="A24" s="297"/>
      <c r="B24" s="295"/>
      <c r="C24" s="166" t="s">
        <v>22</v>
      </c>
      <c r="D24" s="173" t="s">
        <v>268</v>
      </c>
      <c r="E24" s="188">
        <v>20</v>
      </c>
      <c r="F24" s="165" t="s">
        <v>38</v>
      </c>
      <c r="G24" s="165"/>
      <c r="H24" s="165"/>
      <c r="I24" s="165"/>
      <c r="J24" s="165"/>
      <c r="K24" s="165"/>
      <c r="L24" s="165"/>
      <c r="M24" s="165"/>
      <c r="N24" s="165"/>
      <c r="O24" s="165">
        <v>3</v>
      </c>
      <c r="P24" s="165">
        <v>5</v>
      </c>
      <c r="Q24" s="165">
        <v>5</v>
      </c>
      <c r="R24" s="165">
        <v>6</v>
      </c>
      <c r="S24" s="166">
        <f t="shared" si="0"/>
        <v>19</v>
      </c>
    </row>
    <row r="25" spans="1:19" ht="62.4" x14ac:dyDescent="0.3">
      <c r="A25" s="297"/>
      <c r="B25" s="295"/>
      <c r="C25" s="225" t="s">
        <v>23</v>
      </c>
      <c r="D25" s="226" t="s">
        <v>269</v>
      </c>
      <c r="E25" s="227">
        <v>3</v>
      </c>
      <c r="F25" s="228" t="s">
        <v>229</v>
      </c>
      <c r="G25" s="228"/>
      <c r="H25" s="228"/>
      <c r="I25" s="228"/>
      <c r="J25" s="228"/>
      <c r="K25" s="228"/>
      <c r="L25" s="228"/>
      <c r="M25" s="228"/>
      <c r="N25" s="228"/>
      <c r="O25" s="228">
        <v>1</v>
      </c>
      <c r="P25" s="228">
        <v>1</v>
      </c>
      <c r="Q25" s="228">
        <v>1</v>
      </c>
      <c r="R25" s="228"/>
      <c r="S25" s="166">
        <f t="shared" si="0"/>
        <v>3</v>
      </c>
    </row>
    <row r="26" spans="1:19" ht="93.6" x14ac:dyDescent="0.3">
      <c r="A26" s="297"/>
      <c r="B26" s="295"/>
      <c r="C26" s="166" t="s">
        <v>24</v>
      </c>
      <c r="D26" s="173" t="s">
        <v>271</v>
      </c>
      <c r="E26" s="188">
        <v>3</v>
      </c>
      <c r="F26" s="165" t="s">
        <v>234</v>
      </c>
      <c r="G26" s="165"/>
      <c r="H26" s="165"/>
      <c r="I26" s="165"/>
      <c r="J26" s="165"/>
      <c r="K26" s="165"/>
      <c r="L26" s="165"/>
      <c r="M26" s="165"/>
      <c r="N26" s="165"/>
      <c r="O26" s="165"/>
      <c r="P26" s="165"/>
      <c r="Q26" s="165"/>
      <c r="R26" s="165">
        <v>3</v>
      </c>
      <c r="S26" s="166">
        <f t="shared" si="0"/>
        <v>3</v>
      </c>
    </row>
    <row r="27" spans="1:19" ht="62.4" x14ac:dyDescent="0.3">
      <c r="A27" s="297"/>
      <c r="B27" s="295"/>
      <c r="C27" s="166" t="s">
        <v>25</v>
      </c>
      <c r="D27" s="173" t="s">
        <v>272</v>
      </c>
      <c r="E27" s="188">
        <v>1</v>
      </c>
      <c r="F27" s="165" t="s">
        <v>234</v>
      </c>
      <c r="G27" s="165"/>
      <c r="H27" s="165"/>
      <c r="I27" s="165"/>
      <c r="J27" s="165"/>
      <c r="K27" s="165"/>
      <c r="L27" s="165"/>
      <c r="M27" s="165"/>
      <c r="N27" s="165"/>
      <c r="O27" s="165"/>
      <c r="P27" s="165"/>
      <c r="Q27" s="165"/>
      <c r="R27" s="165">
        <v>1</v>
      </c>
      <c r="S27" s="166">
        <f t="shared" si="0"/>
        <v>1</v>
      </c>
    </row>
    <row r="28" spans="1:19" ht="62.4" x14ac:dyDescent="0.3">
      <c r="A28" s="297"/>
      <c r="B28" s="295"/>
      <c r="C28" s="166" t="s">
        <v>26</v>
      </c>
      <c r="D28" s="173" t="s">
        <v>305</v>
      </c>
      <c r="E28" s="188">
        <v>2</v>
      </c>
      <c r="F28" s="165" t="s">
        <v>81</v>
      </c>
      <c r="G28" s="165"/>
      <c r="H28" s="165"/>
      <c r="I28" s="165"/>
      <c r="J28" s="165"/>
      <c r="K28" s="165"/>
      <c r="L28" s="165"/>
      <c r="M28" s="165"/>
      <c r="N28" s="165"/>
      <c r="O28" s="165">
        <v>1</v>
      </c>
      <c r="P28" s="165"/>
      <c r="Q28" s="165">
        <v>1</v>
      </c>
      <c r="R28" s="165"/>
      <c r="S28" s="166">
        <f t="shared" si="0"/>
        <v>2</v>
      </c>
    </row>
    <row r="29" spans="1:19" ht="62.4" x14ac:dyDescent="0.3">
      <c r="A29" s="330"/>
      <c r="B29" s="307"/>
      <c r="C29" s="166" t="s">
        <v>27</v>
      </c>
      <c r="D29" s="177" t="s">
        <v>274</v>
      </c>
      <c r="E29" s="188">
        <v>1</v>
      </c>
      <c r="F29" s="165" t="s">
        <v>101</v>
      </c>
      <c r="G29" s="165"/>
      <c r="H29" s="165"/>
      <c r="I29" s="165"/>
      <c r="J29" s="165"/>
      <c r="K29" s="165"/>
      <c r="L29" s="165"/>
      <c r="M29" s="165"/>
      <c r="N29" s="165"/>
      <c r="O29" s="165"/>
      <c r="P29" s="165">
        <v>1</v>
      </c>
      <c r="Q29" s="165"/>
      <c r="R29" s="165"/>
      <c r="S29" s="166">
        <f t="shared" si="0"/>
        <v>1</v>
      </c>
    </row>
    <row r="30" spans="1:19" ht="62.4" x14ac:dyDescent="0.3">
      <c r="A30" s="294">
        <v>4</v>
      </c>
      <c r="B30" s="294" t="s">
        <v>113</v>
      </c>
      <c r="C30" s="165" t="s">
        <v>20</v>
      </c>
      <c r="D30" s="141" t="s">
        <v>278</v>
      </c>
      <c r="E30" s="188">
        <v>16</v>
      </c>
      <c r="F30" s="165" t="s">
        <v>101</v>
      </c>
      <c r="G30" s="165"/>
      <c r="H30" s="165"/>
      <c r="I30" s="165"/>
      <c r="J30" s="165"/>
      <c r="K30" s="165"/>
      <c r="L30" s="165"/>
      <c r="M30" s="165"/>
      <c r="N30" s="165"/>
      <c r="O30" s="165">
        <v>4</v>
      </c>
      <c r="P30" s="165">
        <v>4</v>
      </c>
      <c r="Q30" s="165">
        <v>4</v>
      </c>
      <c r="R30" s="165">
        <v>4</v>
      </c>
      <c r="S30" s="166">
        <f>SUM(N30:R30)</f>
        <v>16</v>
      </c>
    </row>
    <row r="31" spans="1:19" ht="156" x14ac:dyDescent="0.3">
      <c r="A31" s="295"/>
      <c r="B31" s="295"/>
      <c r="C31" s="166" t="s">
        <v>21</v>
      </c>
      <c r="D31" s="141" t="s">
        <v>136</v>
      </c>
      <c r="E31" s="188">
        <v>5</v>
      </c>
      <c r="F31" s="165" t="s">
        <v>101</v>
      </c>
      <c r="G31" s="165"/>
      <c r="H31" s="165"/>
      <c r="I31" s="165"/>
      <c r="J31" s="165"/>
      <c r="K31" s="165"/>
      <c r="L31" s="165"/>
      <c r="M31" s="165"/>
      <c r="N31" s="165"/>
      <c r="O31" s="165">
        <v>1</v>
      </c>
      <c r="P31" s="165">
        <v>2</v>
      </c>
      <c r="Q31" s="165">
        <v>1</v>
      </c>
      <c r="R31" s="165">
        <v>1</v>
      </c>
      <c r="S31" s="166">
        <f t="shared" si="0"/>
        <v>5</v>
      </c>
    </row>
    <row r="32" spans="1:19" s="183" customFormat="1" ht="109.2" x14ac:dyDescent="0.3">
      <c r="A32" s="307"/>
      <c r="B32" s="307"/>
      <c r="C32" s="147" t="s">
        <v>22</v>
      </c>
      <c r="D32" s="224" t="s">
        <v>137</v>
      </c>
      <c r="E32" s="189">
        <v>1</v>
      </c>
      <c r="F32" s="182" t="s">
        <v>38</v>
      </c>
      <c r="G32" s="182"/>
      <c r="H32" s="182"/>
      <c r="I32" s="182"/>
      <c r="J32" s="182"/>
      <c r="K32" s="182"/>
      <c r="L32" s="182"/>
      <c r="M32" s="182"/>
      <c r="N32" s="182"/>
      <c r="O32" s="182"/>
      <c r="P32" s="182">
        <v>1</v>
      </c>
      <c r="Q32" s="182"/>
      <c r="R32" s="182"/>
      <c r="S32" s="147">
        <f t="shared" si="0"/>
        <v>1</v>
      </c>
    </row>
    <row r="33" spans="1:19" ht="409.5" customHeight="1" x14ac:dyDescent="0.3">
      <c r="A33" s="166">
        <v>5</v>
      </c>
      <c r="B33" s="167" t="s">
        <v>92</v>
      </c>
      <c r="C33" s="167" t="s">
        <v>20</v>
      </c>
      <c r="D33" s="173" t="s">
        <v>138</v>
      </c>
      <c r="E33" s="188">
        <v>5</v>
      </c>
      <c r="F33" s="165" t="s">
        <v>124</v>
      </c>
      <c r="G33" s="165"/>
      <c r="H33" s="165"/>
      <c r="I33" s="165"/>
      <c r="J33" s="165"/>
      <c r="K33" s="165"/>
      <c r="L33" s="165"/>
      <c r="M33" s="165"/>
      <c r="N33" s="165"/>
      <c r="O33" s="165">
        <v>1</v>
      </c>
      <c r="P33" s="165">
        <v>1</v>
      </c>
      <c r="Q33" s="165">
        <v>2</v>
      </c>
      <c r="R33" s="165">
        <v>1</v>
      </c>
      <c r="S33" s="166">
        <f t="shared" si="0"/>
        <v>5</v>
      </c>
    </row>
    <row r="34" spans="1:19" ht="249.6" x14ac:dyDescent="0.3">
      <c r="A34" s="166">
        <v>6</v>
      </c>
      <c r="B34" s="165" t="s">
        <v>93</v>
      </c>
      <c r="C34" s="165" t="s">
        <v>20</v>
      </c>
      <c r="D34" s="173" t="s">
        <v>139</v>
      </c>
      <c r="E34" s="188">
        <v>1</v>
      </c>
      <c r="F34" s="165" t="s">
        <v>39</v>
      </c>
      <c r="G34" s="165"/>
      <c r="H34" s="165"/>
      <c r="I34" s="165"/>
      <c r="J34" s="165"/>
      <c r="K34" s="165"/>
      <c r="L34" s="165"/>
      <c r="M34" s="165"/>
      <c r="N34" s="165"/>
      <c r="O34" s="165"/>
      <c r="P34" s="165">
        <v>1</v>
      </c>
      <c r="Q34" s="165"/>
      <c r="R34" s="165"/>
      <c r="S34" s="166">
        <f t="shared" si="0"/>
        <v>1</v>
      </c>
    </row>
    <row r="35" spans="1:19" ht="156" x14ac:dyDescent="0.3">
      <c r="A35" s="166">
        <v>7</v>
      </c>
      <c r="B35" s="165" t="s">
        <v>41</v>
      </c>
      <c r="C35" s="165" t="s">
        <v>20</v>
      </c>
      <c r="D35" s="141" t="s">
        <v>42</v>
      </c>
      <c r="E35" s="188">
        <v>2</v>
      </c>
      <c r="F35" s="165" t="s">
        <v>38</v>
      </c>
      <c r="G35" s="165"/>
      <c r="H35" s="165"/>
      <c r="I35" s="165"/>
      <c r="J35" s="165"/>
      <c r="K35" s="165"/>
      <c r="L35" s="165"/>
      <c r="M35" s="165"/>
      <c r="N35" s="165"/>
      <c r="O35" s="165">
        <v>2</v>
      </c>
      <c r="P35" s="165"/>
      <c r="Q35" s="165"/>
      <c r="R35" s="165"/>
      <c r="S35" s="166">
        <f t="shared" si="0"/>
        <v>2</v>
      </c>
    </row>
    <row r="36" spans="1:19" ht="124.8" x14ac:dyDescent="0.3">
      <c r="A36" s="166">
        <v>8</v>
      </c>
      <c r="B36" s="165" t="s">
        <v>43</v>
      </c>
      <c r="C36" s="246" t="s">
        <v>20</v>
      </c>
      <c r="D36" s="173" t="s">
        <v>44</v>
      </c>
      <c r="E36" s="188">
        <v>1</v>
      </c>
      <c r="F36" s="165" t="s">
        <v>39</v>
      </c>
      <c r="G36" s="165"/>
      <c r="H36" s="165"/>
      <c r="I36" s="165"/>
      <c r="J36" s="165"/>
      <c r="K36" s="165"/>
      <c r="L36" s="165"/>
      <c r="M36" s="165"/>
      <c r="N36" s="165"/>
      <c r="O36" s="165"/>
      <c r="P36" s="165"/>
      <c r="Q36" s="165">
        <v>1</v>
      </c>
      <c r="R36" s="165"/>
      <c r="S36" s="166">
        <f t="shared" si="0"/>
        <v>1</v>
      </c>
    </row>
    <row r="37" spans="1:19" ht="171.6" x14ac:dyDescent="0.3">
      <c r="A37" s="296"/>
      <c r="B37" s="331"/>
      <c r="C37" s="105" t="s">
        <v>21</v>
      </c>
      <c r="D37" s="173" t="s">
        <v>140</v>
      </c>
      <c r="E37" s="188">
        <v>1</v>
      </c>
      <c r="F37" s="165" t="s">
        <v>45</v>
      </c>
      <c r="G37" s="165"/>
      <c r="H37" s="165"/>
      <c r="I37" s="165"/>
      <c r="J37" s="165"/>
      <c r="K37" s="165"/>
      <c r="L37" s="165"/>
      <c r="M37" s="165"/>
      <c r="N37" s="165"/>
      <c r="O37" s="165">
        <v>1</v>
      </c>
      <c r="P37" s="165"/>
      <c r="Q37" s="165"/>
      <c r="R37" s="165"/>
      <c r="S37" s="166">
        <f t="shared" si="0"/>
        <v>1</v>
      </c>
    </row>
    <row r="38" spans="1:19" ht="249.6" x14ac:dyDescent="0.3">
      <c r="A38" s="297"/>
      <c r="B38" s="332"/>
      <c r="C38" s="166" t="s">
        <v>22</v>
      </c>
      <c r="D38" s="258" t="s">
        <v>46</v>
      </c>
      <c r="E38" s="189">
        <v>9</v>
      </c>
      <c r="F38" s="182" t="s">
        <v>47</v>
      </c>
      <c r="G38" s="182"/>
      <c r="H38" s="182"/>
      <c r="I38" s="182"/>
      <c r="J38" s="182"/>
      <c r="K38" s="182"/>
      <c r="L38" s="182"/>
      <c r="M38" s="182"/>
      <c r="N38" s="182"/>
      <c r="O38" s="182">
        <v>3</v>
      </c>
      <c r="P38" s="182">
        <v>2</v>
      </c>
      <c r="Q38" s="182">
        <v>2</v>
      </c>
      <c r="R38" s="182">
        <v>2</v>
      </c>
      <c r="S38" s="147">
        <f t="shared" si="0"/>
        <v>9</v>
      </c>
    </row>
    <row r="39" spans="1:19" ht="93.6" x14ac:dyDescent="0.3">
      <c r="A39" s="297"/>
      <c r="B39" s="332"/>
      <c r="C39" s="166" t="s">
        <v>23</v>
      </c>
      <c r="D39" s="173" t="s">
        <v>48</v>
      </c>
      <c r="E39" s="188">
        <v>1</v>
      </c>
      <c r="F39" s="165" t="s">
        <v>40</v>
      </c>
      <c r="G39" s="165"/>
      <c r="H39" s="165"/>
      <c r="I39" s="165"/>
      <c r="J39" s="165"/>
      <c r="K39" s="165"/>
      <c r="L39" s="165"/>
      <c r="M39" s="165"/>
      <c r="N39" s="165"/>
      <c r="O39" s="165">
        <v>1</v>
      </c>
      <c r="P39" s="165"/>
      <c r="Q39" s="165"/>
      <c r="R39" s="165"/>
      <c r="S39" s="166">
        <f t="shared" si="0"/>
        <v>1</v>
      </c>
    </row>
    <row r="40" spans="1:19" ht="280.8" x14ac:dyDescent="0.3">
      <c r="A40" s="297"/>
      <c r="B40" s="332"/>
      <c r="C40" s="166" t="s">
        <v>24</v>
      </c>
      <c r="D40" s="173" t="s">
        <v>98</v>
      </c>
      <c r="E40" s="188">
        <v>2</v>
      </c>
      <c r="F40" s="165" t="s">
        <v>39</v>
      </c>
      <c r="G40" s="165"/>
      <c r="H40" s="165"/>
      <c r="I40" s="165"/>
      <c r="J40" s="165"/>
      <c r="K40" s="165"/>
      <c r="L40" s="165"/>
      <c r="M40" s="165"/>
      <c r="N40" s="165"/>
      <c r="O40" s="165"/>
      <c r="P40" s="165"/>
      <c r="Q40" s="165"/>
      <c r="R40" s="165">
        <v>2</v>
      </c>
      <c r="S40" s="166">
        <f t="shared" si="0"/>
        <v>2</v>
      </c>
    </row>
    <row r="41" spans="1:19" ht="140.4" x14ac:dyDescent="0.3">
      <c r="A41" s="297"/>
      <c r="B41" s="332"/>
      <c r="C41" s="166" t="s">
        <v>25</v>
      </c>
      <c r="D41" s="173" t="s">
        <v>99</v>
      </c>
      <c r="E41" s="188">
        <v>10</v>
      </c>
      <c r="F41" s="165" t="s">
        <v>100</v>
      </c>
      <c r="G41" s="165"/>
      <c r="H41" s="165"/>
      <c r="I41" s="165"/>
      <c r="J41" s="165"/>
      <c r="K41" s="165"/>
      <c r="L41" s="165"/>
      <c r="M41" s="165"/>
      <c r="N41" s="165"/>
      <c r="O41" s="165">
        <v>2</v>
      </c>
      <c r="P41" s="165">
        <v>2</v>
      </c>
      <c r="Q41" s="165">
        <v>3</v>
      </c>
      <c r="R41" s="165">
        <v>3</v>
      </c>
      <c r="S41" s="166">
        <f t="shared" si="0"/>
        <v>10</v>
      </c>
    </row>
    <row r="42" spans="1:19" ht="249.6" x14ac:dyDescent="0.3">
      <c r="A42" s="297"/>
      <c r="B42" s="332"/>
      <c r="C42" s="166" t="s">
        <v>26</v>
      </c>
      <c r="D42" s="173" t="s">
        <v>49</v>
      </c>
      <c r="E42" s="188">
        <v>1</v>
      </c>
      <c r="F42" s="165" t="s">
        <v>39</v>
      </c>
      <c r="G42" s="165"/>
      <c r="H42" s="165"/>
      <c r="I42" s="165"/>
      <c r="J42" s="165"/>
      <c r="K42" s="165"/>
      <c r="L42" s="165"/>
      <c r="M42" s="165"/>
      <c r="N42" s="165"/>
      <c r="O42" s="165"/>
      <c r="P42" s="165"/>
      <c r="Q42" s="165">
        <v>1</v>
      </c>
      <c r="R42" s="165"/>
      <c r="S42" s="166">
        <f t="shared" si="0"/>
        <v>1</v>
      </c>
    </row>
    <row r="43" spans="1:19" ht="109.2" x14ac:dyDescent="0.3">
      <c r="A43" s="297"/>
      <c r="B43" s="332"/>
      <c r="C43" s="166" t="s">
        <v>27</v>
      </c>
      <c r="D43" s="173" t="s">
        <v>279</v>
      </c>
      <c r="E43" s="188">
        <v>1</v>
      </c>
      <c r="F43" s="165" t="s">
        <v>38</v>
      </c>
      <c r="G43" s="165"/>
      <c r="H43" s="165"/>
      <c r="I43" s="165"/>
      <c r="J43" s="165"/>
      <c r="K43" s="165"/>
      <c r="L43" s="165"/>
      <c r="M43" s="165"/>
      <c r="N43" s="165"/>
      <c r="O43" s="165"/>
      <c r="P43" s="165">
        <v>1</v>
      </c>
      <c r="Q43" s="165"/>
      <c r="R43" s="165"/>
      <c r="S43" s="166">
        <f t="shared" si="0"/>
        <v>1</v>
      </c>
    </row>
    <row r="44" spans="1:19" ht="46.8" x14ac:dyDescent="0.3">
      <c r="A44" s="297"/>
      <c r="B44" s="332"/>
      <c r="C44" s="166" t="s">
        <v>28</v>
      </c>
      <c r="D44" s="173" t="s">
        <v>51</v>
      </c>
      <c r="E44" s="188">
        <v>1</v>
      </c>
      <c r="F44" s="165" t="s">
        <v>38</v>
      </c>
      <c r="G44" s="165"/>
      <c r="H44" s="165"/>
      <c r="I44" s="165"/>
      <c r="J44" s="165"/>
      <c r="K44" s="165"/>
      <c r="L44" s="165"/>
      <c r="M44" s="165"/>
      <c r="N44" s="165"/>
      <c r="O44" s="165">
        <v>1</v>
      </c>
      <c r="P44" s="165"/>
      <c r="Q44" s="165"/>
      <c r="R44" s="165"/>
      <c r="S44" s="166">
        <f t="shared" si="0"/>
        <v>1</v>
      </c>
    </row>
    <row r="45" spans="1:19" ht="78" x14ac:dyDescent="0.3">
      <c r="A45" s="297"/>
      <c r="B45" s="332"/>
      <c r="C45" s="166" t="s">
        <v>29</v>
      </c>
      <c r="D45" s="173" t="s">
        <v>52</v>
      </c>
      <c r="E45" s="188">
        <v>1</v>
      </c>
      <c r="F45" s="165" t="s">
        <v>38</v>
      </c>
      <c r="G45" s="165"/>
      <c r="H45" s="165"/>
      <c r="I45" s="165"/>
      <c r="J45" s="165"/>
      <c r="K45" s="165"/>
      <c r="L45" s="165"/>
      <c r="M45" s="165"/>
      <c r="N45" s="165"/>
      <c r="O45" s="165">
        <v>1</v>
      </c>
      <c r="P45" s="165"/>
      <c r="Q45" s="165"/>
      <c r="R45" s="165"/>
      <c r="S45" s="166">
        <f t="shared" si="0"/>
        <v>1</v>
      </c>
    </row>
    <row r="46" spans="1:19" ht="171.6" x14ac:dyDescent="0.3">
      <c r="A46" s="330"/>
      <c r="B46" s="332"/>
      <c r="C46" s="166" t="s">
        <v>30</v>
      </c>
      <c r="D46" s="173" t="s">
        <v>53</v>
      </c>
      <c r="E46" s="188">
        <v>1</v>
      </c>
      <c r="F46" s="167" t="s">
        <v>39</v>
      </c>
      <c r="G46" s="167"/>
      <c r="H46" s="167"/>
      <c r="I46" s="167"/>
      <c r="J46" s="167"/>
      <c r="K46" s="167"/>
      <c r="L46" s="167"/>
      <c r="M46" s="167"/>
      <c r="N46" s="167"/>
      <c r="O46" s="167"/>
      <c r="P46" s="167">
        <v>1</v>
      </c>
      <c r="Q46" s="167"/>
      <c r="R46" s="167"/>
      <c r="S46" s="166">
        <f t="shared" si="0"/>
        <v>1</v>
      </c>
    </row>
    <row r="47" spans="1:19" ht="93.6" x14ac:dyDescent="0.3">
      <c r="A47" s="238"/>
      <c r="B47" s="332"/>
      <c r="C47" s="166" t="s">
        <v>31</v>
      </c>
      <c r="D47" s="173" t="s">
        <v>118</v>
      </c>
      <c r="E47" s="188">
        <v>2</v>
      </c>
      <c r="F47" s="167" t="s">
        <v>38</v>
      </c>
      <c r="G47" s="167"/>
      <c r="H47" s="167"/>
      <c r="I47" s="167"/>
      <c r="J47" s="167"/>
      <c r="K47" s="167"/>
      <c r="L47" s="167"/>
      <c r="M47" s="167"/>
      <c r="N47" s="167"/>
      <c r="O47" s="167"/>
      <c r="P47" s="167">
        <v>1</v>
      </c>
      <c r="Q47" s="167">
        <v>1</v>
      </c>
      <c r="R47" s="167"/>
      <c r="S47" s="166">
        <f>SUM(N47:R47)</f>
        <v>2</v>
      </c>
    </row>
    <row r="48" spans="1:19" ht="78" x14ac:dyDescent="0.3">
      <c r="A48" s="238"/>
      <c r="B48" s="332"/>
      <c r="C48" s="172" t="s">
        <v>32</v>
      </c>
      <c r="D48" s="170" t="s">
        <v>289</v>
      </c>
      <c r="E48" s="191">
        <v>5</v>
      </c>
      <c r="F48" s="172" t="s">
        <v>101</v>
      </c>
      <c r="G48" s="172"/>
      <c r="H48" s="172"/>
      <c r="I48" s="172"/>
      <c r="J48" s="172"/>
      <c r="K48" s="172"/>
      <c r="L48" s="172"/>
      <c r="M48" s="172"/>
      <c r="N48" s="172"/>
      <c r="O48" s="172">
        <v>1</v>
      </c>
      <c r="P48" s="172">
        <v>1</v>
      </c>
      <c r="Q48" s="172">
        <v>1</v>
      </c>
      <c r="R48" s="172">
        <v>2</v>
      </c>
      <c r="S48" s="166">
        <f>SUM(N48:R48)</f>
        <v>5</v>
      </c>
    </row>
    <row r="49" spans="1:19" ht="46.8" x14ac:dyDescent="0.3">
      <c r="A49" s="166"/>
      <c r="B49" s="333"/>
      <c r="C49" s="172" t="s">
        <v>33</v>
      </c>
      <c r="D49" s="114" t="s">
        <v>299</v>
      </c>
      <c r="E49" s="172">
        <v>20</v>
      </c>
      <c r="F49" s="172" t="s">
        <v>101</v>
      </c>
      <c r="G49" s="172"/>
      <c r="H49" s="172"/>
      <c r="I49" s="172"/>
      <c r="J49" s="172"/>
      <c r="K49" s="172"/>
      <c r="L49" s="172"/>
      <c r="M49" s="172"/>
      <c r="N49" s="172"/>
      <c r="O49" s="172">
        <v>5</v>
      </c>
      <c r="P49" s="172">
        <v>5</v>
      </c>
      <c r="Q49" s="172">
        <v>5</v>
      </c>
      <c r="R49" s="172">
        <v>5</v>
      </c>
      <c r="S49" s="166">
        <f>SUM(N49:R49)</f>
        <v>20</v>
      </c>
    </row>
    <row r="50" spans="1:19" x14ac:dyDescent="0.3">
      <c r="A50" s="334" t="s">
        <v>74</v>
      </c>
      <c r="B50" s="335"/>
      <c r="C50" s="335"/>
      <c r="D50" s="336"/>
      <c r="E50" s="188">
        <f>SUM(E10:E49)</f>
        <v>177</v>
      </c>
      <c r="F50" s="188">
        <f t="shared" ref="F50:M50" si="1">SUM(F10:F48)</f>
        <v>0</v>
      </c>
      <c r="G50" s="188">
        <f t="shared" si="1"/>
        <v>0</v>
      </c>
      <c r="H50" s="188">
        <f t="shared" si="1"/>
        <v>0</v>
      </c>
      <c r="I50" s="188">
        <f t="shared" si="1"/>
        <v>0</v>
      </c>
      <c r="J50" s="188">
        <f t="shared" si="1"/>
        <v>0</v>
      </c>
      <c r="K50" s="188">
        <f t="shared" si="1"/>
        <v>0</v>
      </c>
      <c r="L50" s="188">
        <f t="shared" si="1"/>
        <v>0</v>
      </c>
      <c r="M50" s="188">
        <f t="shared" si="1"/>
        <v>0</v>
      </c>
      <c r="N50" s="188">
        <f>SUM(N10:N49)</f>
        <v>0</v>
      </c>
      <c r="O50" s="188">
        <f t="shared" ref="O50:R50" si="2">SUM(O10:O49)</f>
        <v>46</v>
      </c>
      <c r="P50" s="188">
        <f t="shared" si="2"/>
        <v>45</v>
      </c>
      <c r="Q50" s="188">
        <f t="shared" si="2"/>
        <v>43</v>
      </c>
      <c r="R50" s="188">
        <f t="shared" si="2"/>
        <v>42</v>
      </c>
      <c r="S50" s="188">
        <f>SUM(S10:S49)</f>
        <v>176</v>
      </c>
    </row>
    <row r="51" spans="1:19" x14ac:dyDescent="0.3">
      <c r="A51" s="230"/>
      <c r="B51" s="229"/>
      <c r="C51" s="230"/>
      <c r="D51" s="231"/>
      <c r="E51" s="232"/>
      <c r="F51" s="233"/>
      <c r="G51" s="233"/>
      <c r="H51" s="233"/>
      <c r="I51" s="233"/>
      <c r="J51" s="233"/>
      <c r="K51" s="233"/>
      <c r="L51" s="233"/>
      <c r="M51" s="233"/>
      <c r="N51" s="233"/>
      <c r="O51" s="233"/>
      <c r="P51" s="233"/>
      <c r="Q51" s="233"/>
      <c r="R51" s="233"/>
      <c r="S51" s="233"/>
    </row>
    <row r="52" spans="1:19" x14ac:dyDescent="0.3">
      <c r="D52" s="175"/>
      <c r="F52" s="174">
        <f>E50/5</f>
        <v>35.4</v>
      </c>
    </row>
    <row r="53" spans="1:19" x14ac:dyDescent="0.3">
      <c r="D53" s="175"/>
      <c r="O53" s="327" t="s">
        <v>225</v>
      </c>
      <c r="P53" s="327"/>
      <c r="Q53" s="327"/>
      <c r="R53" s="327"/>
      <c r="S53" s="327"/>
    </row>
    <row r="54" spans="1:19" x14ac:dyDescent="0.3">
      <c r="D54" s="175"/>
      <c r="O54" s="327" t="s">
        <v>54</v>
      </c>
      <c r="P54" s="327"/>
      <c r="Q54" s="327"/>
      <c r="R54" s="327"/>
      <c r="S54" s="327"/>
    </row>
    <row r="55" spans="1:19" x14ac:dyDescent="0.3">
      <c r="B55" s="327" t="s">
        <v>317</v>
      </c>
      <c r="C55" s="327"/>
      <c r="D55" s="327"/>
      <c r="E55" s="327"/>
      <c r="O55" s="327" t="s">
        <v>141</v>
      </c>
      <c r="P55" s="327"/>
      <c r="Q55" s="327"/>
      <c r="R55" s="327"/>
      <c r="S55" s="327"/>
    </row>
    <row r="56" spans="1:19" x14ac:dyDescent="0.3">
      <c r="D56" s="175"/>
    </row>
    <row r="57" spans="1:19" x14ac:dyDescent="0.3">
      <c r="D57" s="175"/>
    </row>
    <row r="58" spans="1:19" x14ac:dyDescent="0.3">
      <c r="B58" s="327" t="str">
        <f>CARIK!B46</f>
        <v>SUNARDI</v>
      </c>
      <c r="C58" s="327"/>
      <c r="D58" s="327"/>
      <c r="E58" s="327"/>
      <c r="O58" s="327" t="s">
        <v>325</v>
      </c>
      <c r="P58" s="327"/>
      <c r="Q58" s="327"/>
      <c r="R58" s="327"/>
      <c r="S58" s="327"/>
    </row>
  </sheetData>
  <mergeCells count="25">
    <mergeCell ref="O54:S54"/>
    <mergeCell ref="B55:E55"/>
    <mergeCell ref="O55:S55"/>
    <mergeCell ref="B58:E58"/>
    <mergeCell ref="O58:S58"/>
    <mergeCell ref="O53:S53"/>
    <mergeCell ref="E8:F8"/>
    <mergeCell ref="E9:F9"/>
    <mergeCell ref="A11:A19"/>
    <mergeCell ref="B11:B19"/>
    <mergeCell ref="A23:A29"/>
    <mergeCell ref="A37:A46"/>
    <mergeCell ref="B37:B49"/>
    <mergeCell ref="A50:D50"/>
    <mergeCell ref="B22:B29"/>
    <mergeCell ref="B30:B32"/>
    <mergeCell ref="A30:A32"/>
    <mergeCell ref="A1:S1"/>
    <mergeCell ref="A6:A7"/>
    <mergeCell ref="B6:B7"/>
    <mergeCell ref="C6:C7"/>
    <mergeCell ref="D6:D7"/>
    <mergeCell ref="E6:F7"/>
    <mergeCell ref="G6:R6"/>
    <mergeCell ref="S6:S7"/>
  </mergeCells>
  <pageMargins left="0.23622047244094491" right="0.23622047244094491" top="0.74803149606299213" bottom="0.74803149606299213" header="0.31496062992125984" footer="0.31496062992125984"/>
  <pageSetup paperSize="14" scale="87" fitToHeight="9" orientation="portrait" r:id="rId1"/>
  <headerFooter>
    <oddFooter>Page &amp;P</oddFooter>
  </headerFooter>
  <rowBreaks count="3" manualBreakCount="3">
    <brk id="36" max="18" man="1"/>
    <brk id="39" max="18" man="1"/>
    <brk id="42" max="18"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W63"/>
  <sheetViews>
    <sheetView view="pageBreakPreview" zoomScale="70" zoomScaleNormal="100" zoomScaleSheetLayoutView="70" workbookViewId="0">
      <selection sqref="A1:S63"/>
    </sheetView>
  </sheetViews>
  <sheetFormatPr defaultColWidth="9.109375" defaultRowHeight="15.6" x14ac:dyDescent="0.3"/>
  <cols>
    <col min="1" max="1" width="5" style="95" customWidth="1"/>
    <col min="2" max="2" width="17.109375" style="174" customWidth="1"/>
    <col min="3" max="3" width="4.109375" style="94" customWidth="1"/>
    <col min="4" max="4" width="24.6640625" style="178" customWidth="1"/>
    <col min="5" max="5" width="6.33203125" style="174" customWidth="1"/>
    <col min="6" max="6" width="13" style="174" customWidth="1"/>
    <col min="7" max="14" width="8.6640625" style="174" hidden="1" customWidth="1"/>
    <col min="15" max="18" width="8.6640625" style="174" customWidth="1"/>
    <col min="19" max="19" width="11.33203125" style="174" customWidth="1"/>
    <col min="20" max="20" width="9.109375" style="174"/>
    <col min="21" max="21" width="118.44140625" style="174" customWidth="1"/>
    <col min="22" max="16384" width="9.109375" style="174"/>
  </cols>
  <sheetData>
    <row r="1" spans="1:23" x14ac:dyDescent="0.3">
      <c r="A1" s="325" t="s">
        <v>0</v>
      </c>
      <c r="B1" s="325"/>
      <c r="C1" s="325"/>
      <c r="D1" s="325"/>
      <c r="E1" s="325"/>
      <c r="F1" s="325"/>
      <c r="G1" s="325"/>
      <c r="H1" s="325"/>
      <c r="I1" s="325"/>
      <c r="J1" s="325"/>
      <c r="K1" s="325"/>
      <c r="L1" s="325"/>
      <c r="M1" s="325"/>
      <c r="N1" s="325"/>
      <c r="O1" s="325"/>
      <c r="P1" s="325"/>
      <c r="Q1" s="325"/>
      <c r="R1" s="325"/>
      <c r="S1" s="325"/>
    </row>
    <row r="2" spans="1:23" x14ac:dyDescent="0.3">
      <c r="A2" s="176"/>
      <c r="B2" s="176"/>
      <c r="C2" s="176"/>
      <c r="D2" s="176"/>
      <c r="E2" s="176"/>
      <c r="F2" s="176"/>
      <c r="G2" s="176"/>
      <c r="H2" s="176"/>
      <c r="I2" s="176"/>
      <c r="J2" s="176"/>
      <c r="K2" s="176"/>
      <c r="L2" s="176"/>
      <c r="M2" s="176"/>
      <c r="N2" s="176"/>
      <c r="O2" s="176"/>
      <c r="P2" s="176"/>
      <c r="Q2" s="176"/>
      <c r="R2" s="176"/>
      <c r="S2" s="176"/>
    </row>
    <row r="3" spans="1:23" x14ac:dyDescent="0.3">
      <c r="A3" s="93"/>
      <c r="B3" s="176"/>
      <c r="C3" s="93"/>
      <c r="D3" s="176"/>
      <c r="E3" s="176"/>
      <c r="F3" s="176"/>
      <c r="G3" s="176"/>
      <c r="H3" s="176"/>
      <c r="I3" s="176"/>
      <c r="J3" s="176"/>
      <c r="K3" s="176"/>
      <c r="L3" s="176"/>
      <c r="M3" s="176"/>
      <c r="N3" s="176"/>
      <c r="O3" s="176"/>
      <c r="P3" s="176"/>
      <c r="Q3" s="176"/>
      <c r="R3" s="176"/>
      <c r="S3" s="176"/>
    </row>
    <row r="4" spans="1:23" x14ac:dyDescent="0.3">
      <c r="A4" s="95" t="s">
        <v>1</v>
      </c>
      <c r="C4" s="94" t="s">
        <v>318</v>
      </c>
      <c r="D4" s="175" t="s">
        <v>326</v>
      </c>
    </row>
    <row r="5" spans="1:23" x14ac:dyDescent="0.3">
      <c r="A5" s="95" t="s">
        <v>2</v>
      </c>
      <c r="C5" s="94" t="s">
        <v>318</v>
      </c>
      <c r="D5" s="175" t="s">
        <v>172</v>
      </c>
    </row>
    <row r="6" spans="1:23" x14ac:dyDescent="0.3">
      <c r="D6" s="175"/>
    </row>
    <row r="7" spans="1:23" x14ac:dyDescent="0.3">
      <c r="D7" s="175"/>
    </row>
    <row r="8" spans="1:23" x14ac:dyDescent="0.3">
      <c r="A8" s="286" t="s">
        <v>3</v>
      </c>
      <c r="B8" s="308" t="s">
        <v>4</v>
      </c>
      <c r="C8" s="286"/>
      <c r="D8" s="308" t="s">
        <v>5</v>
      </c>
      <c r="E8" s="308" t="s">
        <v>6</v>
      </c>
      <c r="F8" s="308"/>
      <c r="G8" s="308" t="s">
        <v>105</v>
      </c>
      <c r="H8" s="308"/>
      <c r="I8" s="308"/>
      <c r="J8" s="308"/>
      <c r="K8" s="308"/>
      <c r="L8" s="308"/>
      <c r="M8" s="308"/>
      <c r="N8" s="308"/>
      <c r="O8" s="308"/>
      <c r="P8" s="308"/>
      <c r="Q8" s="308"/>
      <c r="R8" s="308"/>
      <c r="S8" s="308" t="s">
        <v>257</v>
      </c>
    </row>
    <row r="9" spans="1:23" x14ac:dyDescent="0.3">
      <c r="A9" s="286"/>
      <c r="B9" s="308"/>
      <c r="C9" s="286"/>
      <c r="D9" s="308"/>
      <c r="E9" s="308"/>
      <c r="F9" s="308"/>
      <c r="G9" s="159" t="s">
        <v>8</v>
      </c>
      <c r="H9" s="159" t="s">
        <v>9</v>
      </c>
      <c r="I9" s="159" t="s">
        <v>10</v>
      </c>
      <c r="J9" s="159" t="s">
        <v>11</v>
      </c>
      <c r="K9" s="159" t="s">
        <v>12</v>
      </c>
      <c r="L9" s="159" t="s">
        <v>13</v>
      </c>
      <c r="M9" s="159" t="s">
        <v>14</v>
      </c>
      <c r="N9" s="159" t="s">
        <v>15</v>
      </c>
      <c r="O9" s="159" t="s">
        <v>16</v>
      </c>
      <c r="P9" s="159" t="s">
        <v>17</v>
      </c>
      <c r="Q9" s="159" t="s">
        <v>18</v>
      </c>
      <c r="R9" s="159" t="s">
        <v>19</v>
      </c>
      <c r="S9" s="308"/>
    </row>
    <row r="10" spans="1:23" x14ac:dyDescent="0.3">
      <c r="A10" s="99" t="s">
        <v>20</v>
      </c>
      <c r="B10" s="160" t="s">
        <v>21</v>
      </c>
      <c r="C10" s="99"/>
      <c r="D10" s="160" t="s">
        <v>22</v>
      </c>
      <c r="E10" s="328" t="s">
        <v>23</v>
      </c>
      <c r="F10" s="328"/>
      <c r="G10" s="160" t="s">
        <v>24</v>
      </c>
      <c r="H10" s="160" t="s">
        <v>25</v>
      </c>
      <c r="I10" s="160" t="s">
        <v>26</v>
      </c>
      <c r="J10" s="160" t="s">
        <v>27</v>
      </c>
      <c r="K10" s="160" t="s">
        <v>28</v>
      </c>
      <c r="L10" s="160" t="s">
        <v>29</v>
      </c>
      <c r="M10" s="160" t="s">
        <v>30</v>
      </c>
      <c r="N10" s="160" t="s">
        <v>31</v>
      </c>
      <c r="O10" s="160" t="s">
        <v>32</v>
      </c>
      <c r="P10" s="160" t="s">
        <v>33</v>
      </c>
      <c r="Q10" s="160" t="s">
        <v>34</v>
      </c>
      <c r="R10" s="160" t="s">
        <v>35</v>
      </c>
      <c r="S10" s="160" t="s">
        <v>36</v>
      </c>
    </row>
    <row r="11" spans="1:23" ht="16.2" thickBot="1" x14ac:dyDescent="0.35">
      <c r="A11" s="102"/>
      <c r="B11" s="162"/>
      <c r="C11" s="102"/>
      <c r="D11" s="163"/>
      <c r="E11" s="329"/>
      <c r="F11" s="329"/>
      <c r="G11" s="162"/>
      <c r="H11" s="162"/>
      <c r="I11" s="162"/>
      <c r="J11" s="162"/>
      <c r="K11" s="162"/>
      <c r="L11" s="162"/>
      <c r="M11" s="162"/>
      <c r="N11" s="162"/>
      <c r="O11" s="162"/>
      <c r="P11" s="162"/>
      <c r="Q11" s="162"/>
      <c r="R11" s="162"/>
      <c r="S11" s="162"/>
    </row>
    <row r="12" spans="1:23" ht="234" x14ac:dyDescent="0.3">
      <c r="A12" s="105">
        <v>1</v>
      </c>
      <c r="B12" s="294" t="s">
        <v>142</v>
      </c>
      <c r="C12" s="106" t="s">
        <v>20</v>
      </c>
      <c r="D12" s="164" t="s">
        <v>250</v>
      </c>
      <c r="E12" s="186">
        <v>10</v>
      </c>
      <c r="F12" s="165" t="s">
        <v>171</v>
      </c>
      <c r="G12" s="166"/>
      <c r="H12" s="166"/>
      <c r="I12" s="166"/>
      <c r="J12" s="166"/>
      <c r="K12" s="166"/>
      <c r="L12" s="166"/>
      <c r="M12" s="166"/>
      <c r="N12" s="166"/>
      <c r="O12" s="166">
        <v>3</v>
      </c>
      <c r="P12" s="166">
        <v>3</v>
      </c>
      <c r="Q12" s="166">
        <v>2</v>
      </c>
      <c r="R12" s="166">
        <v>2</v>
      </c>
      <c r="S12" s="166">
        <f>SUM(N12:R12)</f>
        <v>10</v>
      </c>
      <c r="V12" s="337"/>
      <c r="W12" s="177"/>
    </row>
    <row r="13" spans="1:23" ht="171.6" x14ac:dyDescent="0.3">
      <c r="A13" s="294"/>
      <c r="B13" s="295"/>
      <c r="C13" s="106" t="s">
        <v>21</v>
      </c>
      <c r="D13" s="167" t="s">
        <v>258</v>
      </c>
      <c r="E13" s="186">
        <v>20</v>
      </c>
      <c r="F13" s="165" t="s">
        <v>171</v>
      </c>
      <c r="G13" s="165"/>
      <c r="H13" s="165"/>
      <c r="I13" s="165"/>
      <c r="J13" s="165"/>
      <c r="K13" s="165"/>
      <c r="L13" s="165"/>
      <c r="M13" s="165"/>
      <c r="N13" s="165"/>
      <c r="O13" s="165">
        <v>5</v>
      </c>
      <c r="P13" s="165">
        <v>5</v>
      </c>
      <c r="Q13" s="165">
        <v>5</v>
      </c>
      <c r="R13" s="165">
        <v>5</v>
      </c>
      <c r="S13" s="166">
        <f t="shared" ref="S13:S54" si="0">SUM(N13:R13)</f>
        <v>20</v>
      </c>
      <c r="V13" s="338"/>
      <c r="W13" s="177"/>
    </row>
    <row r="14" spans="1:23" ht="218.4" x14ac:dyDescent="0.3">
      <c r="A14" s="295"/>
      <c r="B14" s="295"/>
      <c r="C14" s="106" t="s">
        <v>22</v>
      </c>
      <c r="D14" s="167" t="s">
        <v>259</v>
      </c>
      <c r="E14" s="186">
        <v>20</v>
      </c>
      <c r="F14" s="165" t="s">
        <v>171</v>
      </c>
      <c r="G14" s="165"/>
      <c r="H14" s="165"/>
      <c r="I14" s="165"/>
      <c r="J14" s="165"/>
      <c r="K14" s="165"/>
      <c r="L14" s="165"/>
      <c r="M14" s="165"/>
      <c r="N14" s="165"/>
      <c r="O14" s="165">
        <v>5</v>
      </c>
      <c r="P14" s="165">
        <v>5</v>
      </c>
      <c r="Q14" s="165">
        <v>5</v>
      </c>
      <c r="R14" s="165">
        <v>5</v>
      </c>
      <c r="S14" s="166">
        <f t="shared" si="0"/>
        <v>20</v>
      </c>
      <c r="V14" s="338"/>
      <c r="W14" s="177"/>
    </row>
    <row r="15" spans="1:23" ht="109.2" x14ac:dyDescent="0.3">
      <c r="A15" s="295"/>
      <c r="B15" s="295"/>
      <c r="C15" s="106" t="s">
        <v>23</v>
      </c>
      <c r="D15" s="167" t="s">
        <v>144</v>
      </c>
      <c r="E15" s="186">
        <v>5</v>
      </c>
      <c r="F15" s="165" t="s">
        <v>145</v>
      </c>
      <c r="G15" s="167"/>
      <c r="H15" s="167"/>
      <c r="I15" s="167"/>
      <c r="J15" s="167"/>
      <c r="K15" s="167"/>
      <c r="L15" s="167"/>
      <c r="M15" s="167"/>
      <c r="N15" s="167"/>
      <c r="O15" s="167">
        <v>1</v>
      </c>
      <c r="P15" s="167">
        <v>1</v>
      </c>
      <c r="Q15" s="167">
        <v>1</v>
      </c>
      <c r="R15" s="167">
        <v>2</v>
      </c>
      <c r="S15" s="166">
        <f t="shared" si="0"/>
        <v>5</v>
      </c>
      <c r="V15" s="338"/>
      <c r="W15" s="177"/>
    </row>
    <row r="16" spans="1:23" ht="124.8" x14ac:dyDescent="0.3">
      <c r="A16" s="295"/>
      <c r="B16" s="295"/>
      <c r="C16" s="106" t="s">
        <v>24</v>
      </c>
      <c r="D16" s="167" t="s">
        <v>251</v>
      </c>
      <c r="E16" s="186">
        <v>5</v>
      </c>
      <c r="F16" s="165" t="s">
        <v>146</v>
      </c>
      <c r="G16" s="165"/>
      <c r="H16" s="165"/>
      <c r="I16" s="165"/>
      <c r="J16" s="165"/>
      <c r="K16" s="165"/>
      <c r="L16" s="165"/>
      <c r="M16" s="165"/>
      <c r="N16" s="165"/>
      <c r="O16" s="165">
        <v>1</v>
      </c>
      <c r="P16" s="165">
        <v>2</v>
      </c>
      <c r="Q16" s="165">
        <v>1</v>
      </c>
      <c r="R16" s="165">
        <v>1</v>
      </c>
      <c r="S16" s="166">
        <f t="shared" si="0"/>
        <v>5</v>
      </c>
      <c r="V16" s="338"/>
      <c r="W16" s="177"/>
    </row>
    <row r="17" spans="1:23" ht="234" x14ac:dyDescent="0.3">
      <c r="A17" s="295"/>
      <c r="B17" s="295"/>
      <c r="C17" s="106" t="s">
        <v>25</v>
      </c>
      <c r="D17" s="167" t="s">
        <v>147</v>
      </c>
      <c r="E17" s="186">
        <v>15</v>
      </c>
      <c r="F17" s="165" t="s">
        <v>148</v>
      </c>
      <c r="G17" s="165"/>
      <c r="H17" s="165"/>
      <c r="I17" s="165"/>
      <c r="J17" s="165"/>
      <c r="K17" s="165"/>
      <c r="L17" s="165"/>
      <c r="M17" s="165"/>
      <c r="N17" s="165"/>
      <c r="O17" s="165">
        <v>4</v>
      </c>
      <c r="P17" s="165">
        <v>4</v>
      </c>
      <c r="Q17" s="165">
        <v>3</v>
      </c>
      <c r="R17" s="165">
        <v>4</v>
      </c>
      <c r="S17" s="166">
        <f t="shared" si="0"/>
        <v>15</v>
      </c>
      <c r="V17" s="338"/>
      <c r="W17" s="177"/>
    </row>
    <row r="18" spans="1:23" ht="140.4" x14ac:dyDescent="0.3">
      <c r="A18" s="295"/>
      <c r="B18" s="295"/>
      <c r="C18" s="106" t="s">
        <v>26</v>
      </c>
      <c r="D18" s="167" t="s">
        <v>149</v>
      </c>
      <c r="E18" s="188">
        <v>1</v>
      </c>
      <c r="F18" s="165" t="s">
        <v>101</v>
      </c>
      <c r="G18" s="165"/>
      <c r="H18" s="165"/>
      <c r="I18" s="165"/>
      <c r="J18" s="165"/>
      <c r="K18" s="165"/>
      <c r="L18" s="165"/>
      <c r="M18" s="165"/>
      <c r="N18" s="165"/>
      <c r="O18" s="165"/>
      <c r="P18" s="165"/>
      <c r="Q18" s="165"/>
      <c r="R18" s="165">
        <v>1</v>
      </c>
      <c r="S18" s="166">
        <f t="shared" si="0"/>
        <v>1</v>
      </c>
      <c r="V18" s="338"/>
      <c r="W18" s="177"/>
    </row>
    <row r="19" spans="1:23" ht="171.6" x14ac:dyDescent="0.3">
      <c r="A19" s="295"/>
      <c r="B19" s="295"/>
      <c r="C19" s="106" t="s">
        <v>27</v>
      </c>
      <c r="D19" s="167" t="s">
        <v>150</v>
      </c>
      <c r="E19" s="188">
        <v>1</v>
      </c>
      <c r="F19" s="165" t="s">
        <v>38</v>
      </c>
      <c r="G19" s="165"/>
      <c r="H19" s="165"/>
      <c r="I19" s="165"/>
      <c r="J19" s="165"/>
      <c r="K19" s="165"/>
      <c r="L19" s="165"/>
      <c r="M19" s="165"/>
      <c r="N19" s="165"/>
      <c r="O19" s="165">
        <v>1</v>
      </c>
      <c r="P19" s="165"/>
      <c r="Q19" s="165"/>
      <c r="R19" s="165"/>
      <c r="S19" s="166">
        <f t="shared" si="0"/>
        <v>1</v>
      </c>
      <c r="V19" s="338"/>
      <c r="W19" s="177"/>
    </row>
    <row r="20" spans="1:23" ht="267.75" customHeight="1" x14ac:dyDescent="0.3">
      <c r="A20" s="295"/>
      <c r="B20" s="295"/>
      <c r="C20" s="106" t="s">
        <v>28</v>
      </c>
      <c r="D20" s="167" t="s">
        <v>151</v>
      </c>
      <c r="E20" s="188">
        <v>1</v>
      </c>
      <c r="G20" s="165"/>
      <c r="H20" s="165"/>
      <c r="I20" s="165"/>
      <c r="J20" s="165"/>
      <c r="K20" s="165"/>
      <c r="L20" s="165"/>
      <c r="M20" s="165"/>
      <c r="N20" s="165"/>
      <c r="O20" s="165">
        <v>1</v>
      </c>
      <c r="P20" s="165"/>
      <c r="Q20" s="165"/>
      <c r="R20" s="165"/>
      <c r="S20" s="166">
        <f t="shared" si="0"/>
        <v>1</v>
      </c>
      <c r="V20" s="338"/>
      <c r="W20" s="177"/>
    </row>
    <row r="21" spans="1:23" ht="378" customHeight="1" x14ac:dyDescent="0.3">
      <c r="A21" s="295"/>
      <c r="B21" s="295"/>
      <c r="C21" s="106" t="s">
        <v>29</v>
      </c>
      <c r="D21" s="179" t="s">
        <v>252</v>
      </c>
      <c r="E21" s="188">
        <v>1</v>
      </c>
      <c r="F21" s="165" t="s">
        <v>38</v>
      </c>
      <c r="G21" s="165"/>
      <c r="H21" s="165"/>
      <c r="I21" s="165"/>
      <c r="J21" s="165"/>
      <c r="K21" s="165"/>
      <c r="L21" s="165"/>
      <c r="M21" s="165"/>
      <c r="N21" s="165"/>
      <c r="O21" s="165"/>
      <c r="P21" s="165"/>
      <c r="Q21" s="165"/>
      <c r="R21" s="165">
        <v>1</v>
      </c>
      <c r="S21" s="166">
        <f t="shared" si="0"/>
        <v>1</v>
      </c>
      <c r="V21" s="338"/>
      <c r="W21" s="177"/>
    </row>
    <row r="22" spans="1:23" ht="124.8" x14ac:dyDescent="0.3">
      <c r="A22" s="295"/>
      <c r="B22" s="295"/>
      <c r="C22" s="106" t="s">
        <v>30</v>
      </c>
      <c r="D22" s="167" t="s">
        <v>152</v>
      </c>
      <c r="E22" s="188">
        <v>1</v>
      </c>
      <c r="F22" s="165" t="s">
        <v>37</v>
      </c>
      <c r="G22" s="165"/>
      <c r="H22" s="165"/>
      <c r="I22" s="165"/>
      <c r="J22" s="165"/>
      <c r="K22" s="165"/>
      <c r="L22" s="165"/>
      <c r="M22" s="165"/>
      <c r="N22" s="165"/>
      <c r="O22" s="165"/>
      <c r="P22" s="165">
        <v>1</v>
      </c>
      <c r="Q22" s="165"/>
      <c r="R22" s="165"/>
      <c r="S22" s="166">
        <f t="shared" si="0"/>
        <v>1</v>
      </c>
      <c r="V22" s="338"/>
      <c r="W22" s="177"/>
    </row>
    <row r="23" spans="1:23" ht="93.6" x14ac:dyDescent="0.3">
      <c r="A23" s="295"/>
      <c r="B23" s="295"/>
      <c r="C23" s="106" t="s">
        <v>31</v>
      </c>
      <c r="D23" s="167" t="s">
        <v>253</v>
      </c>
      <c r="E23" s="188">
        <v>1</v>
      </c>
      <c r="F23" s="165" t="s">
        <v>37</v>
      </c>
      <c r="G23" s="165"/>
      <c r="H23" s="165"/>
      <c r="I23" s="165"/>
      <c r="J23" s="165"/>
      <c r="K23" s="165"/>
      <c r="L23" s="165"/>
      <c r="M23" s="165"/>
      <c r="N23" s="165"/>
      <c r="O23" s="165"/>
      <c r="P23" s="165"/>
      <c r="Q23" s="165">
        <v>1</v>
      </c>
      <c r="R23" s="165"/>
      <c r="S23" s="166">
        <f t="shared" si="0"/>
        <v>1</v>
      </c>
      <c r="V23" s="338"/>
      <c r="W23" s="177"/>
    </row>
    <row r="24" spans="1:23" ht="267.75" customHeight="1" x14ac:dyDescent="0.3">
      <c r="A24" s="295"/>
      <c r="B24" s="295"/>
      <c r="C24" s="106" t="s">
        <v>32</v>
      </c>
      <c r="D24" s="167" t="s">
        <v>153</v>
      </c>
      <c r="E24" s="188">
        <v>1</v>
      </c>
      <c r="F24" s="165" t="s">
        <v>38</v>
      </c>
      <c r="G24" s="165"/>
      <c r="H24" s="165"/>
      <c r="I24" s="165"/>
      <c r="J24" s="165"/>
      <c r="K24" s="165"/>
      <c r="L24" s="165"/>
      <c r="M24" s="165"/>
      <c r="N24" s="165"/>
      <c r="O24" s="165"/>
      <c r="P24" s="165"/>
      <c r="Q24" s="165">
        <v>1</v>
      </c>
      <c r="R24" s="165"/>
      <c r="S24" s="166">
        <f t="shared" si="0"/>
        <v>1</v>
      </c>
      <c r="V24" s="338"/>
      <c r="W24" s="177"/>
    </row>
    <row r="25" spans="1:23" ht="124.8" x14ac:dyDescent="0.3">
      <c r="A25" s="295"/>
      <c r="B25" s="295"/>
      <c r="C25" s="106" t="s">
        <v>33</v>
      </c>
      <c r="D25" s="167" t="s">
        <v>154</v>
      </c>
      <c r="E25" s="188">
        <v>1</v>
      </c>
      <c r="F25" s="165" t="s">
        <v>155</v>
      </c>
      <c r="G25" s="165"/>
      <c r="H25" s="165"/>
      <c r="I25" s="165"/>
      <c r="J25" s="165"/>
      <c r="K25" s="165"/>
      <c r="L25" s="165"/>
      <c r="M25" s="165"/>
      <c r="N25" s="165"/>
      <c r="O25" s="165"/>
      <c r="P25" s="165">
        <v>1</v>
      </c>
      <c r="Q25" s="165"/>
      <c r="R25" s="165"/>
      <c r="S25" s="166">
        <f t="shared" si="0"/>
        <v>1</v>
      </c>
      <c r="V25" s="338"/>
      <c r="W25" s="177"/>
    </row>
    <row r="26" spans="1:23" ht="171.6" x14ac:dyDescent="0.3">
      <c r="A26" s="295"/>
      <c r="B26" s="295"/>
      <c r="C26" s="106" t="s">
        <v>34</v>
      </c>
      <c r="D26" s="167" t="s">
        <v>156</v>
      </c>
      <c r="E26" s="188">
        <v>1</v>
      </c>
      <c r="F26" s="165" t="s">
        <v>37</v>
      </c>
      <c r="G26" s="165"/>
      <c r="H26" s="165"/>
      <c r="I26" s="165"/>
      <c r="J26" s="165"/>
      <c r="K26" s="165"/>
      <c r="L26" s="165"/>
      <c r="M26" s="165"/>
      <c r="N26" s="165"/>
      <c r="O26" s="165">
        <v>1</v>
      </c>
      <c r="P26" s="165"/>
      <c r="Q26" s="165"/>
      <c r="R26" s="165"/>
      <c r="S26" s="166">
        <f t="shared" si="0"/>
        <v>1</v>
      </c>
      <c r="V26" s="338"/>
      <c r="W26" s="177"/>
    </row>
    <row r="27" spans="1:23" ht="62.4" x14ac:dyDescent="0.3">
      <c r="A27" s="295"/>
      <c r="B27" s="295"/>
      <c r="C27" s="106" t="s">
        <v>35</v>
      </c>
      <c r="D27" s="167" t="s">
        <v>157</v>
      </c>
      <c r="E27" s="188">
        <v>1</v>
      </c>
      <c r="F27" s="165" t="s">
        <v>39</v>
      </c>
      <c r="G27" s="165"/>
      <c r="H27" s="165"/>
      <c r="I27" s="165"/>
      <c r="J27" s="165"/>
      <c r="K27" s="165"/>
      <c r="L27" s="165"/>
      <c r="M27" s="165"/>
      <c r="N27" s="165"/>
      <c r="O27" s="165"/>
      <c r="P27" s="165"/>
      <c r="Q27" s="165"/>
      <c r="R27" s="165">
        <v>1</v>
      </c>
      <c r="S27" s="166">
        <f t="shared" si="0"/>
        <v>1</v>
      </c>
      <c r="V27" s="168"/>
      <c r="W27" s="177"/>
    </row>
    <row r="28" spans="1:23" ht="125.4" thickBot="1" x14ac:dyDescent="0.35">
      <c r="A28" s="307"/>
      <c r="B28" s="307"/>
      <c r="C28" s="106" t="s">
        <v>36</v>
      </c>
      <c r="D28" s="167" t="s">
        <v>79</v>
      </c>
      <c r="E28" s="188">
        <v>2</v>
      </c>
      <c r="F28" s="165" t="s">
        <v>37</v>
      </c>
      <c r="G28" s="165"/>
      <c r="H28" s="165"/>
      <c r="I28" s="165"/>
      <c r="J28" s="165"/>
      <c r="K28" s="165"/>
      <c r="L28" s="165"/>
      <c r="M28" s="165"/>
      <c r="N28" s="165"/>
      <c r="O28" s="165"/>
      <c r="P28" s="165">
        <v>1</v>
      </c>
      <c r="Q28" s="165">
        <v>1</v>
      </c>
      <c r="R28" s="165"/>
      <c r="S28" s="166">
        <f t="shared" si="0"/>
        <v>2</v>
      </c>
      <c r="V28" s="169"/>
      <c r="W28" s="177"/>
    </row>
    <row r="29" spans="1:23" ht="94.2" thickBot="1" x14ac:dyDescent="0.35">
      <c r="A29" s="105">
        <v>2</v>
      </c>
      <c r="B29" s="294" t="s">
        <v>158</v>
      </c>
      <c r="C29" s="106" t="s">
        <v>20</v>
      </c>
      <c r="D29" s="167" t="s">
        <v>261</v>
      </c>
      <c r="E29" s="188">
        <v>5</v>
      </c>
      <c r="F29" s="165" t="s">
        <v>81</v>
      </c>
      <c r="G29" s="165"/>
      <c r="H29" s="165"/>
      <c r="I29" s="165"/>
      <c r="J29" s="165"/>
      <c r="K29" s="165"/>
      <c r="L29" s="165"/>
      <c r="M29" s="165"/>
      <c r="N29" s="165"/>
      <c r="O29" s="165">
        <v>2</v>
      </c>
      <c r="P29" s="165">
        <v>1</v>
      </c>
      <c r="Q29" s="165">
        <v>1</v>
      </c>
      <c r="R29" s="165">
        <v>1</v>
      </c>
      <c r="S29" s="166">
        <f t="shared" si="0"/>
        <v>5</v>
      </c>
      <c r="V29" s="169" t="s">
        <v>158</v>
      </c>
      <c r="W29" s="177"/>
    </row>
    <row r="30" spans="1:23" ht="62.4" x14ac:dyDescent="0.3">
      <c r="A30" s="294"/>
      <c r="B30" s="295"/>
      <c r="C30" s="106" t="s">
        <v>21</v>
      </c>
      <c r="D30" s="167" t="s">
        <v>159</v>
      </c>
      <c r="E30" s="188">
        <v>5</v>
      </c>
      <c r="F30" s="165" t="s">
        <v>81</v>
      </c>
      <c r="G30" s="165"/>
      <c r="H30" s="165"/>
      <c r="I30" s="165"/>
      <c r="J30" s="165"/>
      <c r="K30" s="165"/>
      <c r="L30" s="165"/>
      <c r="M30" s="165"/>
      <c r="N30" s="165"/>
      <c r="O30" s="165">
        <v>1</v>
      </c>
      <c r="P30" s="165">
        <v>1</v>
      </c>
      <c r="Q30" s="165">
        <v>1</v>
      </c>
      <c r="R30" s="165">
        <v>2</v>
      </c>
      <c r="S30" s="166">
        <f t="shared" si="0"/>
        <v>5</v>
      </c>
      <c r="V30" s="168"/>
      <c r="W30" s="177"/>
    </row>
    <row r="31" spans="1:23" ht="93.6" x14ac:dyDescent="0.3">
      <c r="A31" s="295"/>
      <c r="B31" s="295"/>
      <c r="C31" s="106" t="s">
        <v>22</v>
      </c>
      <c r="D31" s="167" t="s">
        <v>160</v>
      </c>
      <c r="E31" s="188">
        <v>5</v>
      </c>
      <c r="F31" s="165" t="s">
        <v>81</v>
      </c>
      <c r="G31" s="165"/>
      <c r="H31" s="165"/>
      <c r="I31" s="165"/>
      <c r="J31" s="165"/>
      <c r="K31" s="165"/>
      <c r="L31" s="165"/>
      <c r="M31" s="165"/>
      <c r="N31" s="165"/>
      <c r="O31" s="165">
        <v>1</v>
      </c>
      <c r="P31" s="165">
        <v>2</v>
      </c>
      <c r="Q31" s="165">
        <v>1</v>
      </c>
      <c r="R31" s="165">
        <v>1</v>
      </c>
      <c r="S31" s="166">
        <f t="shared" si="0"/>
        <v>5</v>
      </c>
      <c r="V31" s="168"/>
      <c r="W31" s="177"/>
    </row>
    <row r="32" spans="1:23" ht="62.4" x14ac:dyDescent="0.3">
      <c r="A32" s="295"/>
      <c r="B32" s="295"/>
      <c r="C32" s="106" t="s">
        <v>23</v>
      </c>
      <c r="D32" s="167" t="s">
        <v>161</v>
      </c>
      <c r="E32" s="188">
        <v>3</v>
      </c>
      <c r="F32" s="165" t="s">
        <v>81</v>
      </c>
      <c r="G32" s="165"/>
      <c r="H32" s="165"/>
      <c r="I32" s="165"/>
      <c r="J32" s="165"/>
      <c r="K32" s="165"/>
      <c r="L32" s="165"/>
      <c r="M32" s="165"/>
      <c r="N32" s="165"/>
      <c r="O32" s="165">
        <v>1</v>
      </c>
      <c r="P32" s="165">
        <v>1</v>
      </c>
      <c r="Q32" s="165">
        <v>1</v>
      </c>
      <c r="R32" s="165"/>
      <c r="S32" s="166">
        <f>SUM(N32:R32)</f>
        <v>3</v>
      </c>
      <c r="V32" s="168"/>
      <c r="W32" s="177"/>
    </row>
    <row r="33" spans="1:23" ht="93.6" x14ac:dyDescent="0.3">
      <c r="A33" s="295"/>
      <c r="B33" s="295"/>
      <c r="C33" s="106" t="s">
        <v>24</v>
      </c>
      <c r="D33" s="167" t="s">
        <v>162</v>
      </c>
      <c r="E33" s="188">
        <v>2</v>
      </c>
      <c r="F33" s="165" t="s">
        <v>101</v>
      </c>
      <c r="G33" s="165"/>
      <c r="H33" s="165"/>
      <c r="I33" s="165"/>
      <c r="J33" s="165"/>
      <c r="K33" s="165"/>
      <c r="L33" s="165"/>
      <c r="M33" s="165"/>
      <c r="N33" s="165"/>
      <c r="O33" s="165">
        <v>1</v>
      </c>
      <c r="P33" s="165"/>
      <c r="Q33" s="165"/>
      <c r="R33" s="165">
        <v>1</v>
      </c>
      <c r="S33" s="166">
        <f t="shared" si="0"/>
        <v>2</v>
      </c>
      <c r="V33" s="168"/>
      <c r="W33" s="177"/>
    </row>
    <row r="34" spans="1:23" ht="109.2" x14ac:dyDescent="0.3">
      <c r="A34" s="295"/>
      <c r="B34" s="295"/>
      <c r="C34" s="106" t="s">
        <v>260</v>
      </c>
      <c r="D34" s="167" t="s">
        <v>163</v>
      </c>
      <c r="E34" s="188">
        <v>1</v>
      </c>
      <c r="F34" s="165" t="s">
        <v>101</v>
      </c>
      <c r="G34" s="165"/>
      <c r="H34" s="165"/>
      <c r="I34" s="165"/>
      <c r="J34" s="165"/>
      <c r="K34" s="165"/>
      <c r="L34" s="165"/>
      <c r="M34" s="165"/>
      <c r="N34" s="165"/>
      <c r="O34" s="165"/>
      <c r="P34" s="165">
        <v>1</v>
      </c>
      <c r="Q34" s="165"/>
      <c r="R34" s="165"/>
      <c r="S34" s="166">
        <f t="shared" si="0"/>
        <v>1</v>
      </c>
      <c r="V34" s="168"/>
      <c r="W34" s="177"/>
    </row>
    <row r="35" spans="1:23" ht="62.4" x14ac:dyDescent="0.3">
      <c r="A35" s="295"/>
      <c r="B35" s="295"/>
      <c r="C35" s="106" t="s">
        <v>26</v>
      </c>
      <c r="D35" s="167" t="s">
        <v>164</v>
      </c>
      <c r="E35" s="188">
        <v>1</v>
      </c>
      <c r="F35" s="165" t="s">
        <v>234</v>
      </c>
      <c r="G35" s="165"/>
      <c r="H35" s="165"/>
      <c r="I35" s="165"/>
      <c r="J35" s="165"/>
      <c r="K35" s="165"/>
      <c r="L35" s="165"/>
      <c r="M35" s="165"/>
      <c r="N35" s="165"/>
      <c r="O35" s="165"/>
      <c r="P35" s="165">
        <v>1</v>
      </c>
      <c r="Q35" s="165"/>
      <c r="R35" s="165"/>
      <c r="S35" s="166">
        <f t="shared" si="0"/>
        <v>1</v>
      </c>
      <c r="V35" s="168"/>
      <c r="W35" s="177"/>
    </row>
    <row r="36" spans="1:23" ht="62.4" x14ac:dyDescent="0.3">
      <c r="A36" s="295"/>
      <c r="B36" s="295"/>
      <c r="C36" s="106" t="s">
        <v>27</v>
      </c>
      <c r="D36" s="167" t="s">
        <v>165</v>
      </c>
      <c r="E36" s="188">
        <v>1</v>
      </c>
      <c r="F36" s="165" t="s">
        <v>81</v>
      </c>
      <c r="G36" s="165"/>
      <c r="H36" s="165"/>
      <c r="I36" s="165"/>
      <c r="J36" s="165"/>
      <c r="K36" s="165"/>
      <c r="L36" s="165"/>
      <c r="M36" s="165"/>
      <c r="N36" s="165"/>
      <c r="O36" s="165"/>
      <c r="P36" s="165"/>
      <c r="Q36" s="165"/>
      <c r="R36" s="165">
        <v>1</v>
      </c>
      <c r="S36" s="166">
        <f t="shared" si="0"/>
        <v>1</v>
      </c>
      <c r="V36" s="168"/>
      <c r="W36" s="177"/>
    </row>
    <row r="37" spans="1:23" ht="62.4" x14ac:dyDescent="0.3">
      <c r="A37" s="295"/>
      <c r="B37" s="295"/>
      <c r="C37" s="106" t="s">
        <v>28</v>
      </c>
      <c r="D37" s="167" t="s">
        <v>166</v>
      </c>
      <c r="E37" s="188">
        <v>4</v>
      </c>
      <c r="F37" s="165" t="s">
        <v>81</v>
      </c>
      <c r="G37" s="165"/>
      <c r="H37" s="165"/>
      <c r="I37" s="165"/>
      <c r="J37" s="165"/>
      <c r="K37" s="165"/>
      <c r="L37" s="165"/>
      <c r="M37" s="165"/>
      <c r="N37" s="165"/>
      <c r="O37" s="165">
        <v>1</v>
      </c>
      <c r="P37" s="165">
        <v>1</v>
      </c>
      <c r="Q37" s="165">
        <v>1</v>
      </c>
      <c r="R37" s="165">
        <v>1</v>
      </c>
      <c r="S37" s="166">
        <f t="shared" si="0"/>
        <v>4</v>
      </c>
      <c r="V37" s="168"/>
      <c r="W37" s="177"/>
    </row>
    <row r="38" spans="1:23" s="183" customFormat="1" ht="218.4" x14ac:dyDescent="0.3">
      <c r="A38" s="295"/>
      <c r="B38" s="307"/>
      <c r="C38" s="180" t="s">
        <v>29</v>
      </c>
      <c r="D38" s="181" t="s">
        <v>254</v>
      </c>
      <c r="E38" s="189">
        <v>2</v>
      </c>
      <c r="F38" s="182" t="s">
        <v>234</v>
      </c>
      <c r="G38" s="182"/>
      <c r="H38" s="182"/>
      <c r="I38" s="182"/>
      <c r="J38" s="182"/>
      <c r="K38" s="182"/>
      <c r="L38" s="182"/>
      <c r="M38" s="182"/>
      <c r="N38" s="182"/>
      <c r="O38" s="182">
        <v>2</v>
      </c>
      <c r="P38" s="182"/>
      <c r="Q38" s="182"/>
      <c r="R38" s="182"/>
      <c r="S38" s="166">
        <f t="shared" si="0"/>
        <v>2</v>
      </c>
      <c r="V38" s="184"/>
      <c r="W38" s="185"/>
    </row>
    <row r="39" spans="1:23" ht="375" thickBot="1" x14ac:dyDescent="0.35">
      <c r="A39" s="105">
        <v>3</v>
      </c>
      <c r="B39" s="170" t="s">
        <v>92</v>
      </c>
      <c r="C39" s="106" t="s">
        <v>20</v>
      </c>
      <c r="D39" s="164" t="s">
        <v>167</v>
      </c>
      <c r="E39" s="188">
        <v>2</v>
      </c>
      <c r="F39" s="165" t="s">
        <v>124</v>
      </c>
      <c r="G39" s="165"/>
      <c r="H39" s="165"/>
      <c r="I39" s="165"/>
      <c r="J39" s="165"/>
      <c r="K39" s="165"/>
      <c r="L39" s="165"/>
      <c r="M39" s="165"/>
      <c r="N39" s="165"/>
      <c r="O39" s="165"/>
      <c r="P39" s="165">
        <v>2</v>
      </c>
      <c r="Q39" s="165"/>
      <c r="R39" s="165"/>
      <c r="S39" s="166">
        <f t="shared" si="0"/>
        <v>2</v>
      </c>
      <c r="V39" s="169" t="s">
        <v>92</v>
      </c>
      <c r="W39" s="177"/>
    </row>
    <row r="40" spans="1:23" ht="219" thickBot="1" x14ac:dyDescent="0.35">
      <c r="A40" s="105">
        <v>4</v>
      </c>
      <c r="B40" s="170" t="s">
        <v>93</v>
      </c>
      <c r="C40" s="106" t="s">
        <v>20</v>
      </c>
      <c r="D40" s="167" t="s">
        <v>255</v>
      </c>
      <c r="E40" s="188">
        <v>1</v>
      </c>
      <c r="F40" s="165" t="s">
        <v>39</v>
      </c>
      <c r="G40" s="165"/>
      <c r="H40" s="165"/>
      <c r="I40" s="165"/>
      <c r="J40" s="165"/>
      <c r="K40" s="165"/>
      <c r="L40" s="165"/>
      <c r="M40" s="165"/>
      <c r="N40" s="165"/>
      <c r="O40" s="165"/>
      <c r="P40" s="165"/>
      <c r="Q40" s="165">
        <v>1</v>
      </c>
      <c r="R40" s="165"/>
      <c r="S40" s="166">
        <f t="shared" si="0"/>
        <v>1</v>
      </c>
      <c r="V40" s="169" t="s">
        <v>93</v>
      </c>
      <c r="W40" s="177"/>
    </row>
    <row r="41" spans="1:23" ht="265.8" thickBot="1" x14ac:dyDescent="0.35">
      <c r="A41" s="105">
        <v>5</v>
      </c>
      <c r="B41" s="170" t="s">
        <v>95</v>
      </c>
      <c r="C41" s="106" t="s">
        <v>20</v>
      </c>
      <c r="D41" s="167" t="s">
        <v>42</v>
      </c>
      <c r="E41" s="188">
        <v>2</v>
      </c>
      <c r="F41" s="165" t="s">
        <v>37</v>
      </c>
      <c r="G41" s="165"/>
      <c r="H41" s="165"/>
      <c r="I41" s="165"/>
      <c r="J41" s="165"/>
      <c r="K41" s="165"/>
      <c r="L41" s="165"/>
      <c r="M41" s="165"/>
      <c r="N41" s="165"/>
      <c r="O41" s="165">
        <v>1</v>
      </c>
      <c r="P41" s="165"/>
      <c r="Q41" s="165"/>
      <c r="R41" s="165">
        <v>1</v>
      </c>
      <c r="S41" s="166">
        <f t="shared" si="0"/>
        <v>2</v>
      </c>
      <c r="V41" s="169" t="s">
        <v>95</v>
      </c>
      <c r="W41" s="177"/>
    </row>
    <row r="42" spans="1:23" ht="125.4" thickBot="1" x14ac:dyDescent="0.35">
      <c r="A42" s="105">
        <v>6</v>
      </c>
      <c r="B42" s="170" t="s">
        <v>168</v>
      </c>
      <c r="C42" s="106" t="s">
        <v>20</v>
      </c>
      <c r="D42" s="167" t="s">
        <v>44</v>
      </c>
      <c r="E42" s="188">
        <v>1</v>
      </c>
      <c r="F42" s="165" t="s">
        <v>39</v>
      </c>
      <c r="G42" s="165"/>
      <c r="H42" s="165"/>
      <c r="I42" s="165"/>
      <c r="J42" s="165"/>
      <c r="K42" s="165"/>
      <c r="L42" s="165"/>
      <c r="M42" s="165"/>
      <c r="N42" s="165"/>
      <c r="O42" s="165"/>
      <c r="P42" s="165">
        <v>1</v>
      </c>
      <c r="Q42" s="165"/>
      <c r="R42" s="165"/>
      <c r="S42" s="166">
        <f t="shared" si="0"/>
        <v>1</v>
      </c>
      <c r="V42" s="169" t="s">
        <v>168</v>
      </c>
      <c r="W42" s="177"/>
    </row>
    <row r="43" spans="1:23" ht="171.6" x14ac:dyDescent="0.3">
      <c r="A43" s="294"/>
      <c r="B43" s="331"/>
      <c r="C43" s="106" t="s">
        <v>21</v>
      </c>
      <c r="D43" s="167" t="s">
        <v>169</v>
      </c>
      <c r="E43" s="188">
        <v>3</v>
      </c>
      <c r="F43" s="165" t="s">
        <v>45</v>
      </c>
      <c r="G43" s="165"/>
      <c r="H43" s="165"/>
      <c r="I43" s="165"/>
      <c r="J43" s="165"/>
      <c r="K43" s="165"/>
      <c r="L43" s="165"/>
      <c r="M43" s="165"/>
      <c r="N43" s="165"/>
      <c r="O43" s="165">
        <v>1</v>
      </c>
      <c r="P43" s="165">
        <v>1</v>
      </c>
      <c r="Q43" s="165">
        <v>1</v>
      </c>
      <c r="R43" s="165"/>
      <c r="S43" s="166">
        <f t="shared" si="0"/>
        <v>3</v>
      </c>
      <c r="V43" s="168"/>
      <c r="W43" s="177"/>
    </row>
    <row r="44" spans="1:23" ht="249.6" x14ac:dyDescent="0.3">
      <c r="A44" s="295"/>
      <c r="B44" s="332"/>
      <c r="C44" s="106" t="s">
        <v>22</v>
      </c>
      <c r="D44" s="167" t="s">
        <v>46</v>
      </c>
      <c r="E44" s="188">
        <v>10</v>
      </c>
      <c r="F44" s="165" t="s">
        <v>170</v>
      </c>
      <c r="G44" s="167"/>
      <c r="H44" s="167"/>
      <c r="I44" s="167"/>
      <c r="J44" s="167"/>
      <c r="K44" s="167"/>
      <c r="L44" s="167"/>
      <c r="M44" s="167"/>
      <c r="N44" s="167"/>
      <c r="O44" s="167">
        <v>2</v>
      </c>
      <c r="P44" s="167">
        <v>2</v>
      </c>
      <c r="Q44" s="167">
        <v>2</v>
      </c>
      <c r="R44" s="167">
        <v>4</v>
      </c>
      <c r="S44" s="166">
        <f t="shared" si="0"/>
        <v>10</v>
      </c>
      <c r="V44" s="168"/>
      <c r="W44" s="177"/>
    </row>
    <row r="45" spans="1:23" ht="93.6" x14ac:dyDescent="0.3">
      <c r="A45" s="295"/>
      <c r="B45" s="332"/>
      <c r="C45" s="106" t="s">
        <v>23</v>
      </c>
      <c r="D45" s="167" t="s">
        <v>48</v>
      </c>
      <c r="E45" s="188">
        <v>2</v>
      </c>
      <c r="F45" s="165" t="s">
        <v>171</v>
      </c>
      <c r="G45" s="167" t="e">
        <f>+S45:FG50</f>
        <v>#VALUE!</v>
      </c>
      <c r="H45" s="167"/>
      <c r="I45" s="167"/>
      <c r="J45" s="167"/>
      <c r="K45" s="167"/>
      <c r="L45" s="167"/>
      <c r="M45" s="167"/>
      <c r="N45" s="167"/>
      <c r="O45" s="167">
        <v>1</v>
      </c>
      <c r="P45" s="167"/>
      <c r="Q45" s="167"/>
      <c r="R45" s="167">
        <v>1</v>
      </c>
      <c r="S45" s="166">
        <f t="shared" si="0"/>
        <v>2</v>
      </c>
      <c r="U45" s="174" t="s">
        <v>256</v>
      </c>
      <c r="V45" s="168"/>
      <c r="W45" s="177"/>
    </row>
    <row r="46" spans="1:23" ht="280.8" x14ac:dyDescent="0.3">
      <c r="A46" s="295"/>
      <c r="B46" s="332"/>
      <c r="C46" s="106" t="s">
        <v>24</v>
      </c>
      <c r="D46" s="167" t="s">
        <v>98</v>
      </c>
      <c r="E46" s="188">
        <v>1</v>
      </c>
      <c r="F46" s="165" t="s">
        <v>39</v>
      </c>
      <c r="G46" s="167"/>
      <c r="H46" s="167"/>
      <c r="I46" s="167"/>
      <c r="J46" s="167"/>
      <c r="K46" s="167"/>
      <c r="L46" s="167"/>
      <c r="M46" s="167"/>
      <c r="N46" s="167"/>
      <c r="O46" s="167"/>
      <c r="P46" s="167"/>
      <c r="Q46" s="167"/>
      <c r="R46" s="167">
        <v>1</v>
      </c>
      <c r="S46" s="166">
        <f t="shared" si="0"/>
        <v>1</v>
      </c>
      <c r="V46" s="168"/>
      <c r="W46" s="177"/>
    </row>
    <row r="47" spans="1:23" ht="124.8" x14ac:dyDescent="0.3">
      <c r="A47" s="295"/>
      <c r="B47" s="332"/>
      <c r="C47" s="106" t="s">
        <v>25</v>
      </c>
      <c r="D47" s="167" t="s">
        <v>99</v>
      </c>
      <c r="E47" s="188">
        <v>10</v>
      </c>
      <c r="F47" s="165" t="s">
        <v>100</v>
      </c>
      <c r="G47" s="167"/>
      <c r="H47" s="167"/>
      <c r="I47" s="167"/>
      <c r="J47" s="167"/>
      <c r="K47" s="167"/>
      <c r="L47" s="167"/>
      <c r="M47" s="167"/>
      <c r="N47" s="167"/>
      <c r="O47" s="167">
        <v>2</v>
      </c>
      <c r="P47" s="167">
        <v>3</v>
      </c>
      <c r="Q47" s="167">
        <v>3</v>
      </c>
      <c r="R47" s="167">
        <v>2</v>
      </c>
      <c r="S47" s="166">
        <f t="shared" si="0"/>
        <v>10</v>
      </c>
      <c r="V47" s="168"/>
      <c r="W47" s="177"/>
    </row>
    <row r="48" spans="1:23" ht="249.6" x14ac:dyDescent="0.3">
      <c r="A48" s="295"/>
      <c r="B48" s="332"/>
      <c r="C48" s="106" t="s">
        <v>26</v>
      </c>
      <c r="D48" s="167" t="s">
        <v>49</v>
      </c>
      <c r="E48" s="188">
        <v>1</v>
      </c>
      <c r="F48" s="165" t="s">
        <v>37</v>
      </c>
      <c r="G48" s="167"/>
      <c r="H48" s="167"/>
      <c r="I48" s="167"/>
      <c r="J48" s="167"/>
      <c r="K48" s="167"/>
      <c r="L48" s="167"/>
      <c r="M48" s="167"/>
      <c r="N48" s="167"/>
      <c r="O48" s="167"/>
      <c r="P48" s="167"/>
      <c r="Q48" s="167"/>
      <c r="R48" s="167">
        <v>1</v>
      </c>
      <c r="S48" s="166">
        <f t="shared" si="0"/>
        <v>1</v>
      </c>
      <c r="V48" s="168"/>
      <c r="W48" s="177"/>
    </row>
    <row r="49" spans="1:23" ht="62.4" x14ac:dyDescent="0.3">
      <c r="A49" s="295"/>
      <c r="B49" s="332"/>
      <c r="C49" s="106" t="s">
        <v>27</v>
      </c>
      <c r="D49" s="167" t="s">
        <v>50</v>
      </c>
      <c r="E49" s="188">
        <v>1</v>
      </c>
      <c r="F49" s="165" t="s">
        <v>38</v>
      </c>
      <c r="G49" s="167"/>
      <c r="H49" s="167"/>
      <c r="I49" s="167"/>
      <c r="J49" s="167"/>
      <c r="K49" s="167"/>
      <c r="L49" s="167"/>
      <c r="M49" s="167"/>
      <c r="N49" s="167"/>
      <c r="O49" s="167">
        <v>1</v>
      </c>
      <c r="P49" s="167"/>
      <c r="Q49" s="167"/>
      <c r="R49" s="167"/>
      <c r="S49" s="166">
        <f t="shared" si="0"/>
        <v>1</v>
      </c>
      <c r="V49" s="168"/>
      <c r="W49" s="177"/>
    </row>
    <row r="50" spans="1:23" ht="46.8" x14ac:dyDescent="0.3">
      <c r="A50" s="295"/>
      <c r="B50" s="332"/>
      <c r="C50" s="106" t="s">
        <v>28</v>
      </c>
      <c r="D50" s="167" t="s">
        <v>51</v>
      </c>
      <c r="E50" s="188">
        <v>1</v>
      </c>
      <c r="F50" s="165" t="s">
        <v>38</v>
      </c>
      <c r="G50" s="167"/>
      <c r="H50" s="167"/>
      <c r="I50" s="167"/>
      <c r="J50" s="167"/>
      <c r="K50" s="167"/>
      <c r="L50" s="167"/>
      <c r="M50" s="167"/>
      <c r="N50" s="167"/>
      <c r="O50" s="167">
        <v>1</v>
      </c>
      <c r="P50" s="167"/>
      <c r="Q50" s="167"/>
      <c r="R50" s="167"/>
      <c r="S50" s="166">
        <f t="shared" si="0"/>
        <v>1</v>
      </c>
      <c r="V50" s="168"/>
      <c r="W50" s="177"/>
    </row>
    <row r="51" spans="1:23" ht="78" x14ac:dyDescent="0.3">
      <c r="A51" s="295"/>
      <c r="B51" s="332"/>
      <c r="C51" s="106" t="s">
        <v>29</v>
      </c>
      <c r="D51" s="167" t="s">
        <v>52</v>
      </c>
      <c r="E51" s="188">
        <v>1</v>
      </c>
      <c r="F51" s="165" t="s">
        <v>38</v>
      </c>
      <c r="G51" s="167"/>
      <c r="H51" s="167"/>
      <c r="I51" s="167"/>
      <c r="J51" s="167"/>
      <c r="K51" s="167"/>
      <c r="L51" s="167"/>
      <c r="M51" s="167"/>
      <c r="N51" s="167"/>
      <c r="O51" s="167">
        <v>1</v>
      </c>
      <c r="P51" s="167"/>
      <c r="Q51" s="167"/>
      <c r="R51" s="167"/>
      <c r="S51" s="166">
        <f t="shared" si="0"/>
        <v>1</v>
      </c>
      <c r="V51" s="168"/>
      <c r="W51" s="177"/>
    </row>
    <row r="52" spans="1:23" ht="109.8" thickBot="1" x14ac:dyDescent="0.35">
      <c r="A52" s="307"/>
      <c r="B52" s="333"/>
      <c r="C52" s="106" t="s">
        <v>30</v>
      </c>
      <c r="D52" s="167" t="s">
        <v>102</v>
      </c>
      <c r="E52" s="188">
        <v>1</v>
      </c>
      <c r="F52" s="165" t="s">
        <v>37</v>
      </c>
      <c r="G52" s="167"/>
      <c r="H52" s="167"/>
      <c r="I52" s="167"/>
      <c r="J52" s="167"/>
      <c r="K52" s="167"/>
      <c r="L52" s="167"/>
      <c r="M52" s="167"/>
      <c r="N52" s="167"/>
      <c r="O52" s="167"/>
      <c r="P52" s="167"/>
      <c r="Q52" s="167">
        <v>1</v>
      </c>
      <c r="R52" s="167"/>
      <c r="S52" s="166">
        <f t="shared" si="0"/>
        <v>1</v>
      </c>
      <c r="V52" s="169"/>
      <c r="W52" s="177"/>
    </row>
    <row r="53" spans="1:23" ht="46.8" x14ac:dyDescent="0.3">
      <c r="A53" s="221"/>
      <c r="B53" s="222"/>
      <c r="C53" s="138" t="s">
        <v>31</v>
      </c>
      <c r="D53" s="114" t="s">
        <v>299</v>
      </c>
      <c r="E53" s="188">
        <v>20</v>
      </c>
      <c r="F53" s="165" t="s">
        <v>101</v>
      </c>
      <c r="G53" s="167"/>
      <c r="H53" s="167"/>
      <c r="I53" s="167"/>
      <c r="J53" s="167"/>
      <c r="K53" s="167"/>
      <c r="L53" s="167"/>
      <c r="M53" s="167"/>
      <c r="N53" s="167"/>
      <c r="O53" s="167">
        <v>5</v>
      </c>
      <c r="P53" s="167">
        <v>5</v>
      </c>
      <c r="Q53" s="167">
        <v>5</v>
      </c>
      <c r="R53" s="167">
        <v>5</v>
      </c>
      <c r="S53" s="166">
        <f t="shared" si="0"/>
        <v>20</v>
      </c>
      <c r="V53" s="239"/>
      <c r="W53" s="177"/>
    </row>
    <row r="54" spans="1:23" ht="93.6" x14ac:dyDescent="0.3">
      <c r="A54" s="171"/>
      <c r="B54" s="172"/>
      <c r="C54" s="174" t="s">
        <v>32</v>
      </c>
      <c r="D54" s="173" t="s">
        <v>118</v>
      </c>
      <c r="E54" s="191">
        <v>5</v>
      </c>
      <c r="F54" s="190" t="s">
        <v>38</v>
      </c>
      <c r="G54" s="190"/>
      <c r="H54" s="190"/>
      <c r="I54" s="190"/>
      <c r="J54" s="190"/>
      <c r="K54" s="190"/>
      <c r="L54" s="190"/>
      <c r="M54" s="190"/>
      <c r="N54" s="190"/>
      <c r="O54" s="240">
        <v>2</v>
      </c>
      <c r="P54" s="240"/>
      <c r="Q54" s="240">
        <v>2</v>
      </c>
      <c r="R54" s="240">
        <v>1</v>
      </c>
      <c r="S54" s="166">
        <f t="shared" si="0"/>
        <v>5</v>
      </c>
    </row>
    <row r="55" spans="1:23" x14ac:dyDescent="0.3">
      <c r="A55" s="339" t="s">
        <v>74</v>
      </c>
      <c r="B55" s="340"/>
      <c r="C55" s="340"/>
      <c r="D55" s="341"/>
      <c r="E55" s="187">
        <f>SUM(E12:E54)</f>
        <v>178</v>
      </c>
      <c r="F55" s="172"/>
      <c r="G55" s="172"/>
      <c r="H55" s="172"/>
      <c r="I55" s="172"/>
      <c r="J55" s="172"/>
      <c r="K55" s="172"/>
      <c r="L55" s="172"/>
      <c r="M55" s="172"/>
      <c r="N55" s="172">
        <f t="shared" ref="N55:R55" si="1">SUM(N12:N54)</f>
        <v>0</v>
      </c>
      <c r="O55" s="172">
        <f t="shared" si="1"/>
        <v>48</v>
      </c>
      <c r="P55" s="172">
        <f t="shared" si="1"/>
        <v>45</v>
      </c>
      <c r="Q55" s="172">
        <f t="shared" si="1"/>
        <v>40</v>
      </c>
      <c r="R55" s="172">
        <f t="shared" si="1"/>
        <v>45</v>
      </c>
      <c r="S55" s="172">
        <f>SUM(S12:S54)</f>
        <v>178</v>
      </c>
    </row>
    <row r="56" spans="1:23" x14ac:dyDescent="0.3">
      <c r="D56" s="175"/>
    </row>
    <row r="57" spans="1:23" x14ac:dyDescent="0.3">
      <c r="D57" s="175"/>
    </row>
    <row r="58" spans="1:23" x14ac:dyDescent="0.3">
      <c r="D58" s="175"/>
      <c r="F58" s="174">
        <f>E55/5</f>
        <v>35.6</v>
      </c>
      <c r="N58" s="327" t="s">
        <v>327</v>
      </c>
      <c r="O58" s="327"/>
      <c r="P58" s="327"/>
      <c r="Q58" s="327"/>
      <c r="R58" s="327"/>
      <c r="S58" s="327"/>
    </row>
    <row r="59" spans="1:23" x14ac:dyDescent="0.3">
      <c r="D59" s="175"/>
      <c r="N59" s="327" t="s">
        <v>54</v>
      </c>
      <c r="O59" s="327"/>
      <c r="P59" s="327"/>
      <c r="Q59" s="327"/>
      <c r="R59" s="327"/>
      <c r="S59" s="327"/>
    </row>
    <row r="60" spans="1:23" x14ac:dyDescent="0.3">
      <c r="B60" s="327" t="s">
        <v>317</v>
      </c>
      <c r="C60" s="327"/>
      <c r="D60" s="327"/>
      <c r="E60" s="327"/>
      <c r="N60" s="327" t="s">
        <v>172</v>
      </c>
      <c r="O60" s="327"/>
      <c r="P60" s="327"/>
      <c r="Q60" s="327"/>
      <c r="R60" s="327"/>
      <c r="S60" s="327"/>
    </row>
    <row r="61" spans="1:23" x14ac:dyDescent="0.3">
      <c r="D61" s="175"/>
    </row>
    <row r="62" spans="1:23" x14ac:dyDescent="0.3">
      <c r="D62" s="175"/>
    </row>
    <row r="63" spans="1:23" x14ac:dyDescent="0.3">
      <c r="B63" s="327" t="str">
        <f>CARIK!B46</f>
        <v>SUNARDI</v>
      </c>
      <c r="C63" s="327"/>
      <c r="D63" s="327"/>
      <c r="E63" s="327"/>
      <c r="N63" s="327" t="str">
        <f>D4</f>
        <v>AGUS ENDARTO</v>
      </c>
      <c r="O63" s="327"/>
      <c r="P63" s="327"/>
      <c r="Q63" s="327"/>
      <c r="R63" s="327"/>
      <c r="S63" s="327"/>
    </row>
  </sheetData>
  <mergeCells count="24">
    <mergeCell ref="V12:V26"/>
    <mergeCell ref="A13:A28"/>
    <mergeCell ref="B63:E63"/>
    <mergeCell ref="N63:S63"/>
    <mergeCell ref="A43:A52"/>
    <mergeCell ref="B43:B52"/>
    <mergeCell ref="A55:D55"/>
    <mergeCell ref="N58:S58"/>
    <mergeCell ref="N59:S59"/>
    <mergeCell ref="B60:E60"/>
    <mergeCell ref="N60:S60"/>
    <mergeCell ref="A30:A38"/>
    <mergeCell ref="B29:B38"/>
    <mergeCell ref="B12:B28"/>
    <mergeCell ref="E10:F10"/>
    <mergeCell ref="E11:F11"/>
    <mergeCell ref="A1:S1"/>
    <mergeCell ref="A8:A9"/>
    <mergeCell ref="B8:B9"/>
    <mergeCell ref="C8:C9"/>
    <mergeCell ref="D8:D9"/>
    <mergeCell ref="E8:F9"/>
    <mergeCell ref="G8:R8"/>
    <mergeCell ref="S8:S9"/>
  </mergeCells>
  <pageMargins left="0.31496062992125984" right="0.15748031496062992" top="0.74803149606299213" bottom="0.74803149606299213" header="0.31496062992125984" footer="0.31496062992125984"/>
  <pageSetup paperSize="14" scale="88" fitToHeight="0" orientation="portrait" r:id="rId1"/>
  <headerFooter>
    <oddHeader>Page &amp;P</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W53"/>
  <sheetViews>
    <sheetView view="pageBreakPreview" topLeftCell="A31" zoomScaleNormal="100" zoomScaleSheetLayoutView="100" workbookViewId="0">
      <selection activeCell="P33" sqref="P33"/>
    </sheetView>
  </sheetViews>
  <sheetFormatPr defaultColWidth="9.109375" defaultRowHeight="15.6" x14ac:dyDescent="0.3"/>
  <cols>
    <col min="1" max="1" width="5" style="66" customWidth="1"/>
    <col min="2" max="2" width="13.88671875" style="66" customWidth="1"/>
    <col min="3" max="3" width="6.33203125" style="66" customWidth="1"/>
    <col min="4" max="4" width="24.33203125" style="15" customWidth="1"/>
    <col min="5" max="5" width="6.33203125" style="17" customWidth="1"/>
    <col min="6" max="6" width="12.6640625" style="43" customWidth="1"/>
    <col min="7" max="14" width="8.6640625" style="17" hidden="1" customWidth="1"/>
    <col min="15" max="15" width="8.6640625" style="17" customWidth="1"/>
    <col min="16" max="16" width="9.109375" style="17" customWidth="1"/>
    <col min="17" max="18" width="8.6640625" style="17" customWidth="1"/>
    <col min="19" max="19" width="8.33203125" style="17" customWidth="1"/>
    <col min="20" max="20" width="9.109375" style="17"/>
    <col min="21" max="21" width="118.44140625" style="17" customWidth="1"/>
    <col min="22" max="22" width="0" style="17" hidden="1" customWidth="1"/>
    <col min="23" max="16384" width="9.109375" style="17"/>
  </cols>
  <sheetData>
    <row r="1" spans="1:23" x14ac:dyDescent="0.3">
      <c r="A1" s="342" t="s">
        <v>0</v>
      </c>
      <c r="B1" s="342"/>
      <c r="C1" s="342"/>
      <c r="D1" s="342"/>
      <c r="E1" s="342"/>
      <c r="F1" s="342"/>
      <c r="G1" s="342"/>
      <c r="H1" s="342"/>
      <c r="I1" s="342"/>
      <c r="J1" s="342"/>
      <c r="K1" s="342"/>
      <c r="L1" s="342"/>
      <c r="M1" s="342"/>
      <c r="N1" s="342"/>
      <c r="O1" s="342"/>
      <c r="P1" s="342"/>
      <c r="Q1" s="342"/>
      <c r="R1" s="342"/>
      <c r="S1" s="342"/>
    </row>
    <row r="2" spans="1:23" ht="6.75" customHeight="1" x14ac:dyDescent="0.3">
      <c r="A2" s="64"/>
      <c r="B2" s="64"/>
      <c r="C2" s="64"/>
      <c r="D2" s="9"/>
      <c r="E2" s="9"/>
      <c r="F2" s="41"/>
      <c r="G2" s="9"/>
      <c r="H2" s="9"/>
      <c r="I2" s="9"/>
      <c r="J2" s="9"/>
      <c r="K2" s="9"/>
      <c r="L2" s="9"/>
      <c r="M2" s="9"/>
      <c r="N2" s="9"/>
      <c r="O2" s="9"/>
      <c r="P2" s="9"/>
      <c r="Q2" s="9"/>
      <c r="R2" s="9"/>
      <c r="S2" s="9"/>
    </row>
    <row r="3" spans="1:23" x14ac:dyDescent="0.3">
      <c r="A3" s="65" t="s">
        <v>1</v>
      </c>
      <c r="B3" s="65"/>
      <c r="C3" s="65"/>
      <c r="D3" s="10" t="s">
        <v>173</v>
      </c>
      <c r="E3" s="16"/>
      <c r="F3" s="42"/>
      <c r="G3" s="16"/>
      <c r="H3" s="16"/>
      <c r="I3" s="16"/>
      <c r="J3" s="16"/>
      <c r="K3" s="16"/>
      <c r="L3" s="16"/>
      <c r="M3" s="16"/>
      <c r="N3" s="16"/>
      <c r="O3" s="16"/>
      <c r="P3" s="16"/>
      <c r="Q3" s="16"/>
      <c r="R3" s="16"/>
    </row>
    <row r="4" spans="1:23" x14ac:dyDescent="0.3">
      <c r="A4" s="65" t="s">
        <v>2</v>
      </c>
      <c r="B4" s="65"/>
      <c r="C4" s="65"/>
      <c r="D4" s="10" t="s">
        <v>174</v>
      </c>
      <c r="E4" s="16"/>
      <c r="F4" s="42"/>
      <c r="G4" s="16"/>
      <c r="H4" s="16"/>
      <c r="I4" s="16"/>
      <c r="J4" s="16"/>
      <c r="K4" s="16"/>
      <c r="L4" s="16"/>
      <c r="M4" s="16"/>
      <c r="N4" s="16"/>
      <c r="O4" s="16"/>
      <c r="P4" s="16"/>
      <c r="Q4" s="16"/>
      <c r="R4" s="16"/>
    </row>
    <row r="5" spans="1:23" x14ac:dyDescent="0.3">
      <c r="D5" s="11"/>
    </row>
    <row r="6" spans="1:23" x14ac:dyDescent="0.3">
      <c r="A6" s="343" t="s">
        <v>3</v>
      </c>
      <c r="B6" s="343" t="s">
        <v>4</v>
      </c>
      <c r="C6" s="343"/>
      <c r="D6" s="275" t="s">
        <v>5</v>
      </c>
      <c r="E6" s="275" t="s">
        <v>6</v>
      </c>
      <c r="F6" s="275"/>
      <c r="G6" s="344" t="s">
        <v>105</v>
      </c>
      <c r="H6" s="345"/>
      <c r="I6" s="345"/>
      <c r="J6" s="345"/>
      <c r="K6" s="345"/>
      <c r="L6" s="345"/>
      <c r="M6" s="345"/>
      <c r="N6" s="345"/>
      <c r="O6" s="345"/>
      <c r="P6" s="345"/>
      <c r="Q6" s="345"/>
      <c r="R6" s="346"/>
      <c r="S6" s="275" t="s">
        <v>7</v>
      </c>
    </row>
    <row r="7" spans="1:23" x14ac:dyDescent="0.3">
      <c r="A7" s="343"/>
      <c r="B7" s="343"/>
      <c r="C7" s="343"/>
      <c r="D7" s="275"/>
      <c r="E7" s="275"/>
      <c r="F7" s="275"/>
      <c r="G7" s="40" t="s">
        <v>8</v>
      </c>
      <c r="H7" s="40" t="s">
        <v>9</v>
      </c>
      <c r="I7" s="40" t="s">
        <v>10</v>
      </c>
      <c r="J7" s="40" t="s">
        <v>11</v>
      </c>
      <c r="K7" s="40" t="s">
        <v>12</v>
      </c>
      <c r="L7" s="40" t="s">
        <v>13</v>
      </c>
      <c r="M7" s="40" t="s">
        <v>14</v>
      </c>
      <c r="N7" s="40" t="s">
        <v>15</v>
      </c>
      <c r="O7" s="40" t="s">
        <v>16</v>
      </c>
      <c r="P7" s="40" t="s">
        <v>17</v>
      </c>
      <c r="Q7" s="40" t="s">
        <v>18</v>
      </c>
      <c r="R7" s="40" t="s">
        <v>19</v>
      </c>
      <c r="S7" s="275"/>
    </row>
    <row r="8" spans="1:23" s="76" customFormat="1" ht="12" x14ac:dyDescent="0.25">
      <c r="A8" s="74" t="s">
        <v>20</v>
      </c>
      <c r="B8" s="74" t="s">
        <v>21</v>
      </c>
      <c r="C8" s="74"/>
      <c r="D8" s="75" t="s">
        <v>22</v>
      </c>
      <c r="E8" s="348" t="s">
        <v>23</v>
      </c>
      <c r="F8" s="348"/>
      <c r="G8" s="75" t="s">
        <v>24</v>
      </c>
      <c r="H8" s="75" t="s">
        <v>25</v>
      </c>
      <c r="I8" s="75" t="s">
        <v>26</v>
      </c>
      <c r="J8" s="75" t="s">
        <v>27</v>
      </c>
      <c r="K8" s="75" t="s">
        <v>28</v>
      </c>
      <c r="L8" s="75" t="s">
        <v>29</v>
      </c>
      <c r="M8" s="75" t="s">
        <v>30</v>
      </c>
      <c r="N8" s="75" t="s">
        <v>31</v>
      </c>
      <c r="O8" s="75" t="s">
        <v>32</v>
      </c>
      <c r="P8" s="75" t="s">
        <v>33</v>
      </c>
      <c r="Q8" s="75" t="s">
        <v>34</v>
      </c>
      <c r="R8" s="75" t="s">
        <v>35</v>
      </c>
      <c r="S8" s="75" t="s">
        <v>36</v>
      </c>
    </row>
    <row r="9" spans="1:23" ht="16.8" thickBot="1" x14ac:dyDescent="0.35">
      <c r="A9" s="68"/>
      <c r="B9" s="68"/>
      <c r="C9" s="68"/>
      <c r="D9" s="13"/>
      <c r="E9" s="349"/>
      <c r="F9" s="349"/>
      <c r="G9" s="18"/>
      <c r="H9" s="18"/>
      <c r="I9" s="18"/>
      <c r="J9" s="18"/>
      <c r="K9" s="18"/>
      <c r="L9" s="18"/>
      <c r="M9" s="18"/>
      <c r="N9" s="18"/>
      <c r="O9" s="18"/>
      <c r="P9" s="18"/>
      <c r="Q9" s="18"/>
      <c r="R9" s="18"/>
      <c r="S9" s="18"/>
    </row>
    <row r="10" spans="1:23" ht="201" customHeight="1" x14ac:dyDescent="0.3">
      <c r="A10" s="51">
        <v>1</v>
      </c>
      <c r="B10" s="63" t="s">
        <v>175</v>
      </c>
      <c r="C10" s="51" t="s">
        <v>20</v>
      </c>
      <c r="D10" s="62" t="s">
        <v>284</v>
      </c>
      <c r="E10" s="40">
        <v>20</v>
      </c>
      <c r="F10" s="45" t="s">
        <v>229</v>
      </c>
      <c r="G10" s="19"/>
      <c r="H10" s="19"/>
      <c r="I10" s="19"/>
      <c r="J10" s="19"/>
      <c r="K10" s="19"/>
      <c r="L10" s="19"/>
      <c r="M10" s="19"/>
      <c r="N10" s="19"/>
      <c r="O10" s="19">
        <v>5</v>
      </c>
      <c r="P10" s="19">
        <v>5</v>
      </c>
      <c r="Q10" s="19">
        <v>5</v>
      </c>
      <c r="R10" s="19">
        <v>5</v>
      </c>
      <c r="S10" s="19">
        <f>SUM(N10:R10)</f>
        <v>20</v>
      </c>
      <c r="V10" s="350"/>
      <c r="W10" s="77"/>
    </row>
    <row r="11" spans="1:23" ht="151.5" customHeight="1" x14ac:dyDescent="0.3">
      <c r="A11" s="356"/>
      <c r="B11" s="356"/>
      <c r="C11" s="51" t="s">
        <v>21</v>
      </c>
      <c r="D11" s="62" t="s">
        <v>285</v>
      </c>
      <c r="E11" s="61">
        <v>1</v>
      </c>
      <c r="F11" s="45" t="s">
        <v>37</v>
      </c>
      <c r="G11" s="62"/>
      <c r="H11" s="62"/>
      <c r="I11" s="62"/>
      <c r="J11" s="62"/>
      <c r="K11" s="62"/>
      <c r="L11" s="62"/>
      <c r="M11" s="62"/>
      <c r="N11" s="62"/>
      <c r="O11" s="62"/>
      <c r="P11" s="62">
        <v>1</v>
      </c>
      <c r="Q11" s="62"/>
      <c r="R11" s="62"/>
      <c r="S11" s="19">
        <f t="shared" ref="S11:S32" si="0">SUM(N11:R11)</f>
        <v>1</v>
      </c>
      <c r="V11" s="351"/>
      <c r="W11" s="77"/>
    </row>
    <row r="12" spans="1:23" ht="201" customHeight="1" x14ac:dyDescent="0.3">
      <c r="A12" s="357"/>
      <c r="B12" s="357"/>
      <c r="C12" s="51" t="s">
        <v>22</v>
      </c>
      <c r="D12" s="62" t="s">
        <v>176</v>
      </c>
      <c r="E12" s="61">
        <v>5</v>
      </c>
      <c r="F12" s="45" t="s">
        <v>37</v>
      </c>
      <c r="G12" s="62"/>
      <c r="H12" s="62"/>
      <c r="I12" s="62"/>
      <c r="J12" s="62"/>
      <c r="K12" s="62"/>
      <c r="L12" s="62"/>
      <c r="M12" s="62"/>
      <c r="N12" s="62"/>
      <c r="O12" s="62">
        <v>1</v>
      </c>
      <c r="P12" s="62">
        <v>1</v>
      </c>
      <c r="Q12" s="62">
        <v>2</v>
      </c>
      <c r="R12" s="62">
        <v>1</v>
      </c>
      <c r="S12" s="19">
        <f t="shared" si="0"/>
        <v>5</v>
      </c>
      <c r="V12" s="351"/>
      <c r="W12" s="77"/>
    </row>
    <row r="13" spans="1:23" ht="174.75" customHeight="1" x14ac:dyDescent="0.3">
      <c r="A13" s="357"/>
      <c r="B13" s="357"/>
      <c r="C13" s="51" t="s">
        <v>23</v>
      </c>
      <c r="D13" s="62" t="s">
        <v>177</v>
      </c>
      <c r="E13" s="217">
        <v>10</v>
      </c>
      <c r="F13" s="45" t="s">
        <v>37</v>
      </c>
      <c r="G13" s="20"/>
      <c r="H13" s="20"/>
      <c r="I13" s="20"/>
      <c r="J13" s="20"/>
      <c r="K13" s="20"/>
      <c r="L13" s="20"/>
      <c r="M13" s="20"/>
      <c r="N13" s="20"/>
      <c r="O13" s="20">
        <v>3</v>
      </c>
      <c r="P13" s="20">
        <v>3</v>
      </c>
      <c r="Q13" s="20">
        <v>2</v>
      </c>
      <c r="R13" s="20">
        <v>2</v>
      </c>
      <c r="S13" s="19">
        <f t="shared" si="0"/>
        <v>10</v>
      </c>
      <c r="V13" s="351"/>
      <c r="W13" s="77"/>
    </row>
    <row r="14" spans="1:23" ht="253.5" customHeight="1" x14ac:dyDescent="0.3">
      <c r="A14" s="357"/>
      <c r="B14" s="357"/>
      <c r="C14" s="51" t="s">
        <v>24</v>
      </c>
      <c r="D14" s="62" t="s">
        <v>286</v>
      </c>
      <c r="E14" s="61">
        <v>1</v>
      </c>
      <c r="F14" s="45" t="s">
        <v>39</v>
      </c>
      <c r="G14" s="20"/>
      <c r="H14" s="20"/>
      <c r="I14" s="20"/>
      <c r="J14" s="20"/>
      <c r="K14" s="20"/>
      <c r="L14" s="20"/>
      <c r="M14" s="20"/>
      <c r="N14" s="20"/>
      <c r="O14" s="20"/>
      <c r="P14" s="20"/>
      <c r="Q14" s="20"/>
      <c r="R14" s="20">
        <v>1</v>
      </c>
      <c r="S14" s="19">
        <f t="shared" si="0"/>
        <v>1</v>
      </c>
      <c r="V14" s="351"/>
      <c r="W14" s="77"/>
    </row>
    <row r="15" spans="1:23" ht="202.8" x14ac:dyDescent="0.3">
      <c r="A15" s="51">
        <v>2</v>
      </c>
      <c r="B15" s="63" t="s">
        <v>92</v>
      </c>
      <c r="C15" s="51" t="s">
        <v>20</v>
      </c>
      <c r="D15" s="62" t="s">
        <v>287</v>
      </c>
      <c r="E15" s="61">
        <v>1</v>
      </c>
      <c r="F15" s="45" t="s">
        <v>124</v>
      </c>
      <c r="G15" s="62"/>
      <c r="H15" s="62"/>
      <c r="I15" s="62"/>
      <c r="J15" s="62"/>
      <c r="K15" s="62"/>
      <c r="L15" s="62"/>
      <c r="M15" s="62"/>
      <c r="N15" s="62"/>
      <c r="O15" s="62"/>
      <c r="P15" s="62">
        <v>1</v>
      </c>
      <c r="Q15" s="62"/>
      <c r="R15" s="62"/>
      <c r="S15" s="19">
        <f t="shared" si="0"/>
        <v>1</v>
      </c>
      <c r="V15" s="351"/>
      <c r="W15" s="77"/>
    </row>
    <row r="16" spans="1:23" ht="156" x14ac:dyDescent="0.3">
      <c r="A16" s="51">
        <v>3</v>
      </c>
      <c r="B16" s="63" t="s">
        <v>178</v>
      </c>
      <c r="C16" s="51" t="s">
        <v>20</v>
      </c>
      <c r="D16" s="62" t="s">
        <v>179</v>
      </c>
      <c r="E16" s="62">
        <v>20</v>
      </c>
      <c r="F16" s="45" t="s">
        <v>143</v>
      </c>
      <c r="G16" s="62"/>
      <c r="H16" s="62"/>
      <c r="I16" s="62"/>
      <c r="J16" s="62"/>
      <c r="K16" s="62"/>
      <c r="L16" s="62"/>
      <c r="M16" s="62"/>
      <c r="N16" s="62"/>
      <c r="O16" s="62">
        <v>5</v>
      </c>
      <c r="P16" s="62">
        <v>5</v>
      </c>
      <c r="Q16" s="62">
        <v>5</v>
      </c>
      <c r="R16" s="62">
        <v>5</v>
      </c>
      <c r="S16" s="19">
        <f t="shared" si="0"/>
        <v>20</v>
      </c>
      <c r="V16" s="351"/>
      <c r="W16" s="77"/>
    </row>
    <row r="17" spans="1:23" ht="234" x14ac:dyDescent="0.3">
      <c r="A17" s="51">
        <v>4</v>
      </c>
      <c r="B17" s="63" t="s">
        <v>93</v>
      </c>
      <c r="C17" s="51" t="s">
        <v>20</v>
      </c>
      <c r="D17" s="62" t="s">
        <v>306</v>
      </c>
      <c r="E17" s="62">
        <v>1</v>
      </c>
      <c r="F17" s="45" t="s">
        <v>39</v>
      </c>
      <c r="G17" s="62"/>
      <c r="H17" s="62"/>
      <c r="I17" s="62"/>
      <c r="J17" s="62"/>
      <c r="K17" s="62"/>
      <c r="L17" s="62"/>
      <c r="M17" s="62"/>
      <c r="N17" s="62"/>
      <c r="O17" s="62"/>
      <c r="P17" s="62"/>
      <c r="Q17" s="62"/>
      <c r="R17" s="62">
        <v>1</v>
      </c>
      <c r="S17" s="19">
        <f t="shared" si="0"/>
        <v>1</v>
      </c>
      <c r="V17" s="351"/>
      <c r="W17" s="77"/>
    </row>
    <row r="18" spans="1:23" ht="146.25" customHeight="1" x14ac:dyDescent="0.3">
      <c r="A18" s="218">
        <v>5</v>
      </c>
      <c r="B18" s="219" t="s">
        <v>95</v>
      </c>
      <c r="C18" s="218" t="s">
        <v>20</v>
      </c>
      <c r="D18" s="199" t="s">
        <v>42</v>
      </c>
      <c r="E18" s="199">
        <v>2</v>
      </c>
      <c r="F18" s="198" t="s">
        <v>38</v>
      </c>
      <c r="G18" s="199"/>
      <c r="H18" s="199"/>
      <c r="I18" s="199"/>
      <c r="J18" s="199"/>
      <c r="K18" s="199"/>
      <c r="L18" s="199"/>
      <c r="M18" s="199"/>
      <c r="N18" s="199"/>
      <c r="O18" s="199">
        <v>1</v>
      </c>
      <c r="P18" s="199"/>
      <c r="Q18" s="199"/>
      <c r="R18" s="199">
        <v>1</v>
      </c>
      <c r="S18" s="197">
        <f t="shared" si="0"/>
        <v>2</v>
      </c>
      <c r="V18" s="351"/>
      <c r="W18" s="77"/>
    </row>
    <row r="19" spans="1:23" ht="123" customHeight="1" x14ac:dyDescent="0.3">
      <c r="A19" s="51">
        <v>6</v>
      </c>
      <c r="B19" s="253" t="s">
        <v>96</v>
      </c>
      <c r="C19" s="254" t="s">
        <v>20</v>
      </c>
      <c r="D19" s="255" t="s">
        <v>300</v>
      </c>
      <c r="E19" s="255">
        <v>10</v>
      </c>
      <c r="F19" s="256" t="s">
        <v>101</v>
      </c>
      <c r="G19" s="255"/>
      <c r="H19" s="255"/>
      <c r="I19" s="255"/>
      <c r="J19" s="255"/>
      <c r="K19" s="255"/>
      <c r="L19" s="255"/>
      <c r="M19" s="255"/>
      <c r="N19" s="255"/>
      <c r="O19" s="255">
        <v>2</v>
      </c>
      <c r="P19" s="255">
        <v>3</v>
      </c>
      <c r="Q19" s="255">
        <v>3</v>
      </c>
      <c r="R19" s="255">
        <v>2</v>
      </c>
      <c r="S19" s="257">
        <f t="shared" si="0"/>
        <v>10</v>
      </c>
      <c r="V19" s="351"/>
      <c r="W19" s="77"/>
    </row>
    <row r="20" spans="1:23" ht="159.75" customHeight="1" x14ac:dyDescent="0.3">
      <c r="A20" s="356"/>
      <c r="B20" s="356"/>
      <c r="C20" s="51" t="s">
        <v>21</v>
      </c>
      <c r="D20" s="62" t="s">
        <v>180</v>
      </c>
      <c r="E20" s="62">
        <v>1</v>
      </c>
      <c r="F20" s="45" t="s">
        <v>45</v>
      </c>
      <c r="G20" s="62"/>
      <c r="H20" s="62"/>
      <c r="I20" s="62"/>
      <c r="J20" s="62"/>
      <c r="K20" s="62"/>
      <c r="L20" s="62"/>
      <c r="M20" s="62"/>
      <c r="N20" s="62"/>
      <c r="O20" s="62"/>
      <c r="P20" s="62"/>
      <c r="Q20" s="62">
        <v>1</v>
      </c>
      <c r="R20" s="62"/>
      <c r="S20" s="19">
        <f t="shared" si="0"/>
        <v>1</v>
      </c>
      <c r="V20" s="351"/>
      <c r="W20" s="77"/>
    </row>
    <row r="21" spans="1:23" ht="307.5" customHeight="1" x14ac:dyDescent="0.3">
      <c r="A21" s="357"/>
      <c r="B21" s="357"/>
      <c r="C21" s="51" t="s">
        <v>22</v>
      </c>
      <c r="D21" s="63" t="s">
        <v>46</v>
      </c>
      <c r="E21" s="62">
        <v>5</v>
      </c>
      <c r="F21" s="45" t="s">
        <v>47</v>
      </c>
      <c r="G21" s="62"/>
      <c r="H21" s="62"/>
      <c r="I21" s="62"/>
      <c r="J21" s="62"/>
      <c r="K21" s="62"/>
      <c r="L21" s="62"/>
      <c r="M21" s="62"/>
      <c r="N21" s="62"/>
      <c r="O21" s="62">
        <v>1</v>
      </c>
      <c r="P21" s="62">
        <v>2</v>
      </c>
      <c r="Q21" s="62">
        <v>1</v>
      </c>
      <c r="R21" s="62">
        <v>1</v>
      </c>
      <c r="S21" s="19">
        <f t="shared" si="0"/>
        <v>5</v>
      </c>
      <c r="V21" s="351"/>
      <c r="W21" s="77"/>
    </row>
    <row r="22" spans="1:23" ht="132.75" customHeight="1" x14ac:dyDescent="0.3">
      <c r="A22" s="357"/>
      <c r="B22" s="357"/>
      <c r="C22" s="51" t="s">
        <v>23</v>
      </c>
      <c r="D22" s="63" t="s">
        <v>181</v>
      </c>
      <c r="E22" s="62">
        <v>20</v>
      </c>
      <c r="F22" s="45" t="s">
        <v>40</v>
      </c>
      <c r="G22" s="62"/>
      <c r="H22" s="62"/>
      <c r="I22" s="62"/>
      <c r="J22" s="62"/>
      <c r="K22" s="62"/>
      <c r="L22" s="62"/>
      <c r="M22" s="62"/>
      <c r="N22" s="62"/>
      <c r="O22" s="62">
        <v>4</v>
      </c>
      <c r="P22" s="62">
        <v>4</v>
      </c>
      <c r="Q22" s="62">
        <v>6</v>
      </c>
      <c r="R22" s="62">
        <v>6</v>
      </c>
      <c r="S22" s="19">
        <f t="shared" si="0"/>
        <v>20</v>
      </c>
      <c r="V22" s="351"/>
      <c r="W22" s="77"/>
    </row>
    <row r="23" spans="1:23" ht="218.4" x14ac:dyDescent="0.3">
      <c r="A23" s="357"/>
      <c r="B23" s="357"/>
      <c r="C23" s="218" t="s">
        <v>24</v>
      </c>
      <c r="D23" s="199" t="s">
        <v>307</v>
      </c>
      <c r="E23" s="199">
        <v>1</v>
      </c>
      <c r="F23" s="198" t="s">
        <v>39</v>
      </c>
      <c r="G23" s="199"/>
      <c r="H23" s="199"/>
      <c r="I23" s="199"/>
      <c r="J23" s="199"/>
      <c r="K23" s="199"/>
      <c r="L23" s="199"/>
      <c r="M23" s="199"/>
      <c r="N23" s="199"/>
      <c r="O23" s="199">
        <v>1</v>
      </c>
      <c r="P23" s="199"/>
      <c r="Q23" s="199"/>
      <c r="R23" s="199"/>
      <c r="S23" s="197">
        <f t="shared" si="0"/>
        <v>1</v>
      </c>
      <c r="V23" s="351"/>
      <c r="W23" s="77"/>
    </row>
    <row r="24" spans="1:23" ht="133.5" customHeight="1" x14ac:dyDescent="0.3">
      <c r="A24" s="357"/>
      <c r="B24" s="357"/>
      <c r="C24" s="51" t="s">
        <v>25</v>
      </c>
      <c r="D24" s="63" t="s">
        <v>290</v>
      </c>
      <c r="E24" s="62">
        <v>2</v>
      </c>
      <c r="F24" s="45" t="s">
        <v>38</v>
      </c>
      <c r="G24" s="62"/>
      <c r="H24" s="62"/>
      <c r="I24" s="62"/>
      <c r="J24" s="62"/>
      <c r="K24" s="62"/>
      <c r="L24" s="62"/>
      <c r="M24" s="62"/>
      <c r="N24" s="62"/>
      <c r="O24" s="62">
        <v>1</v>
      </c>
      <c r="P24" s="62"/>
      <c r="Q24" s="62">
        <v>1</v>
      </c>
      <c r="R24" s="62"/>
      <c r="S24" s="19">
        <f t="shared" si="0"/>
        <v>2</v>
      </c>
      <c r="V24" s="351"/>
      <c r="W24" s="77"/>
    </row>
    <row r="25" spans="1:23" ht="84" customHeight="1" x14ac:dyDescent="0.3">
      <c r="A25" s="357"/>
      <c r="B25" s="357"/>
      <c r="C25" s="51" t="s">
        <v>26</v>
      </c>
      <c r="D25" s="63" t="s">
        <v>51</v>
      </c>
      <c r="E25" s="62">
        <v>1</v>
      </c>
      <c r="F25" s="45" t="s">
        <v>38</v>
      </c>
      <c r="G25" s="62"/>
      <c r="H25" s="62"/>
      <c r="I25" s="62"/>
      <c r="J25" s="62"/>
      <c r="K25" s="62"/>
      <c r="L25" s="62"/>
      <c r="M25" s="62"/>
      <c r="N25" s="62"/>
      <c r="O25" s="62">
        <v>1</v>
      </c>
      <c r="P25" s="62"/>
      <c r="Q25" s="62"/>
      <c r="R25" s="62"/>
      <c r="S25" s="19">
        <f t="shared" si="0"/>
        <v>1</v>
      </c>
      <c r="V25" s="69"/>
      <c r="W25" s="77"/>
    </row>
    <row r="26" spans="1:23" ht="94.5" customHeight="1" thickBot="1" x14ac:dyDescent="0.35">
      <c r="A26" s="357"/>
      <c r="B26" s="357"/>
      <c r="C26" s="51" t="s">
        <v>27</v>
      </c>
      <c r="D26" s="62" t="s">
        <v>52</v>
      </c>
      <c r="E26" s="62">
        <v>1</v>
      </c>
      <c r="F26" s="45" t="s">
        <v>38</v>
      </c>
      <c r="G26" s="62"/>
      <c r="H26" s="62"/>
      <c r="I26" s="62"/>
      <c r="J26" s="62"/>
      <c r="K26" s="62"/>
      <c r="L26" s="62"/>
      <c r="M26" s="62"/>
      <c r="N26" s="62"/>
      <c r="O26" s="62">
        <v>1</v>
      </c>
      <c r="P26" s="62"/>
      <c r="Q26" s="62"/>
      <c r="R26" s="62"/>
      <c r="S26" s="19">
        <f t="shared" si="0"/>
        <v>1</v>
      </c>
      <c r="V26" s="70"/>
      <c r="W26" s="77"/>
    </row>
    <row r="27" spans="1:23" ht="180" customHeight="1" thickBot="1" x14ac:dyDescent="0.35">
      <c r="A27" s="357"/>
      <c r="B27" s="357"/>
      <c r="C27" s="51" t="s">
        <v>28</v>
      </c>
      <c r="D27" s="62" t="s">
        <v>182</v>
      </c>
      <c r="E27" s="62">
        <v>10</v>
      </c>
      <c r="F27" s="45" t="s">
        <v>183</v>
      </c>
      <c r="G27" s="62"/>
      <c r="H27" s="62"/>
      <c r="I27" s="62"/>
      <c r="J27" s="62"/>
      <c r="K27" s="62"/>
      <c r="L27" s="62"/>
      <c r="M27" s="62"/>
      <c r="N27" s="62"/>
      <c r="O27" s="62">
        <v>2</v>
      </c>
      <c r="P27" s="62">
        <v>3</v>
      </c>
      <c r="Q27" s="62">
        <v>3</v>
      </c>
      <c r="R27" s="62">
        <v>2</v>
      </c>
      <c r="S27" s="19">
        <f t="shared" si="0"/>
        <v>10</v>
      </c>
      <c r="V27" s="70" t="s">
        <v>158</v>
      </c>
      <c r="W27" s="77"/>
    </row>
    <row r="28" spans="1:23" ht="140.4" x14ac:dyDescent="0.3">
      <c r="A28" s="357"/>
      <c r="B28" s="357"/>
      <c r="C28" s="51" t="s">
        <v>29</v>
      </c>
      <c r="D28" s="62" t="s">
        <v>308</v>
      </c>
      <c r="E28" s="62">
        <v>5</v>
      </c>
      <c r="F28" s="45" t="s">
        <v>38</v>
      </c>
      <c r="G28" s="62"/>
      <c r="H28" s="62"/>
      <c r="I28" s="62"/>
      <c r="J28" s="62"/>
      <c r="K28" s="62"/>
      <c r="L28" s="62"/>
      <c r="M28" s="62"/>
      <c r="N28" s="62"/>
      <c r="O28" s="62">
        <v>2</v>
      </c>
      <c r="P28" s="62">
        <v>1</v>
      </c>
      <c r="Q28" s="62">
        <v>1</v>
      </c>
      <c r="R28" s="62">
        <v>1</v>
      </c>
      <c r="S28" s="19">
        <f t="shared" si="0"/>
        <v>5</v>
      </c>
      <c r="V28" s="69"/>
      <c r="W28" s="77"/>
    </row>
    <row r="29" spans="1:23" ht="78" x14ac:dyDescent="0.3">
      <c r="A29" s="357"/>
      <c r="B29" s="357"/>
      <c r="C29" s="51" t="s">
        <v>30</v>
      </c>
      <c r="D29" s="62" t="s">
        <v>288</v>
      </c>
      <c r="E29" s="62">
        <v>1</v>
      </c>
      <c r="F29" s="45" t="s">
        <v>38</v>
      </c>
      <c r="G29" s="62"/>
      <c r="H29" s="62"/>
      <c r="I29" s="62"/>
      <c r="J29" s="62"/>
      <c r="K29" s="62"/>
      <c r="L29" s="62"/>
      <c r="M29" s="62"/>
      <c r="N29" s="62"/>
      <c r="O29" s="62"/>
      <c r="P29" s="62">
        <v>1</v>
      </c>
      <c r="Q29" s="62"/>
      <c r="R29" s="62"/>
      <c r="S29" s="19">
        <f t="shared" si="0"/>
        <v>1</v>
      </c>
      <c r="V29" s="69"/>
      <c r="W29" s="77"/>
    </row>
    <row r="30" spans="1:23" ht="140.4" x14ac:dyDescent="0.3">
      <c r="A30" s="357"/>
      <c r="B30" s="357"/>
      <c r="C30" s="51" t="s">
        <v>31</v>
      </c>
      <c r="D30" s="78" t="s">
        <v>53</v>
      </c>
      <c r="E30" s="19">
        <v>10</v>
      </c>
      <c r="F30" s="45" t="s">
        <v>38</v>
      </c>
      <c r="G30" s="62"/>
      <c r="H30" s="62"/>
      <c r="I30" s="62"/>
      <c r="J30" s="62"/>
      <c r="K30" s="62"/>
      <c r="L30" s="62"/>
      <c r="M30" s="62"/>
      <c r="N30" s="62"/>
      <c r="O30" s="62">
        <v>3</v>
      </c>
      <c r="P30" s="62">
        <v>2</v>
      </c>
      <c r="Q30" s="62">
        <v>2</v>
      </c>
      <c r="R30" s="62">
        <v>3</v>
      </c>
      <c r="S30" s="19">
        <f t="shared" si="0"/>
        <v>10</v>
      </c>
      <c r="V30" s="69"/>
      <c r="W30" s="77"/>
    </row>
    <row r="31" spans="1:23" ht="46.8" x14ac:dyDescent="0.3">
      <c r="A31" s="357"/>
      <c r="B31" s="357"/>
      <c r="C31" s="51" t="s">
        <v>32</v>
      </c>
      <c r="D31" s="114" t="s">
        <v>299</v>
      </c>
      <c r="E31" s="19">
        <v>20</v>
      </c>
      <c r="F31" s="45" t="s">
        <v>101</v>
      </c>
      <c r="G31" s="62"/>
      <c r="H31" s="62"/>
      <c r="I31" s="62"/>
      <c r="J31" s="62"/>
      <c r="K31" s="62"/>
      <c r="L31" s="62"/>
      <c r="M31" s="62"/>
      <c r="N31" s="62"/>
      <c r="O31" s="62">
        <v>5</v>
      </c>
      <c r="P31" s="62">
        <v>5</v>
      </c>
      <c r="Q31" s="62">
        <v>5</v>
      </c>
      <c r="R31" s="62">
        <v>5</v>
      </c>
      <c r="S31" s="19">
        <f t="shared" si="0"/>
        <v>20</v>
      </c>
      <c r="V31" s="79"/>
      <c r="W31" s="77"/>
    </row>
    <row r="32" spans="1:23" ht="132" customHeight="1" x14ac:dyDescent="0.3">
      <c r="A32" s="358"/>
      <c r="B32" s="358"/>
      <c r="C32" s="51" t="s">
        <v>33</v>
      </c>
      <c r="D32" s="80" t="s">
        <v>309</v>
      </c>
      <c r="E32" s="19">
        <v>10</v>
      </c>
      <c r="F32" s="45" t="s">
        <v>184</v>
      </c>
      <c r="G32" s="62"/>
      <c r="H32" s="62"/>
      <c r="I32" s="62"/>
      <c r="J32" s="62"/>
      <c r="K32" s="62"/>
      <c r="L32" s="62"/>
      <c r="M32" s="62"/>
      <c r="N32" s="62"/>
      <c r="O32" s="62">
        <v>2</v>
      </c>
      <c r="P32" s="62">
        <v>3</v>
      </c>
      <c r="Q32" s="62">
        <v>2</v>
      </c>
      <c r="R32" s="62">
        <v>2</v>
      </c>
      <c r="S32" s="19">
        <f t="shared" si="0"/>
        <v>9</v>
      </c>
      <c r="V32" s="79"/>
      <c r="W32" s="77"/>
    </row>
    <row r="33" spans="1:23" ht="31.5" customHeight="1" x14ac:dyDescent="0.3">
      <c r="A33" s="352" t="s">
        <v>74</v>
      </c>
      <c r="B33" s="353"/>
      <c r="C33" s="353"/>
      <c r="D33" s="354"/>
      <c r="E33" s="62">
        <f>SUM(E10:E32)</f>
        <v>158</v>
      </c>
      <c r="F33" s="220">
        <f t="shared" ref="F33:S33" si="1">SUM(F10:F32)</f>
        <v>0</v>
      </c>
      <c r="G33" s="62">
        <f t="shared" si="1"/>
        <v>0</v>
      </c>
      <c r="H33" s="62">
        <f t="shared" si="1"/>
        <v>0</v>
      </c>
      <c r="I33" s="62">
        <f t="shared" si="1"/>
        <v>0</v>
      </c>
      <c r="J33" s="62">
        <f t="shared" si="1"/>
        <v>0</v>
      </c>
      <c r="K33" s="62">
        <f t="shared" si="1"/>
        <v>0</v>
      </c>
      <c r="L33" s="62">
        <f t="shared" si="1"/>
        <v>0</v>
      </c>
      <c r="M33" s="62">
        <f t="shared" si="1"/>
        <v>0</v>
      </c>
      <c r="N33" s="62">
        <f t="shared" si="1"/>
        <v>0</v>
      </c>
      <c r="O33" s="62">
        <f t="shared" si="1"/>
        <v>40</v>
      </c>
      <c r="P33" s="62">
        <f t="shared" si="1"/>
        <v>40</v>
      </c>
      <c r="Q33" s="62">
        <f t="shared" si="1"/>
        <v>39</v>
      </c>
      <c r="R33" s="62">
        <f t="shared" si="1"/>
        <v>38</v>
      </c>
      <c r="S33" s="62">
        <f t="shared" si="1"/>
        <v>157</v>
      </c>
      <c r="V33" s="79"/>
      <c r="W33" s="77"/>
    </row>
    <row r="34" spans="1:23" ht="6.75" customHeight="1" x14ac:dyDescent="0.3">
      <c r="A34" s="65"/>
      <c r="B34" s="65"/>
      <c r="C34" s="65"/>
      <c r="D34" s="10"/>
      <c r="E34" s="16"/>
      <c r="F34" s="42"/>
      <c r="G34" s="16"/>
      <c r="H34" s="16"/>
      <c r="I34" s="16"/>
      <c r="J34" s="16"/>
      <c r="K34" s="16"/>
      <c r="L34" s="16"/>
      <c r="M34" s="16"/>
      <c r="N34" s="16"/>
      <c r="O34" s="16"/>
      <c r="P34" s="16"/>
      <c r="Q34" s="16"/>
      <c r="R34" s="16"/>
      <c r="S34" s="16"/>
    </row>
    <row r="35" spans="1:23" x14ac:dyDescent="0.3">
      <c r="A35" s="65"/>
      <c r="B35" s="65"/>
      <c r="C35" s="65"/>
      <c r="D35" s="10"/>
      <c r="E35" s="16"/>
      <c r="F35" s="42"/>
      <c r="G35" s="16"/>
      <c r="H35" s="16"/>
      <c r="I35" s="16"/>
      <c r="J35" s="16"/>
      <c r="K35" s="16"/>
      <c r="L35" s="16"/>
      <c r="M35" s="16"/>
      <c r="N35" s="16"/>
      <c r="O35" s="347" t="s">
        <v>327</v>
      </c>
      <c r="P35" s="347"/>
      <c r="Q35" s="347"/>
      <c r="R35" s="347"/>
      <c r="S35" s="347"/>
    </row>
    <row r="36" spans="1:23" x14ac:dyDescent="0.3">
      <c r="A36" s="65"/>
      <c r="B36" s="65"/>
      <c r="C36" s="65"/>
      <c r="D36" s="10"/>
      <c r="E36" s="16"/>
      <c r="F36" s="42"/>
      <c r="G36" s="16"/>
      <c r="H36" s="16"/>
      <c r="I36" s="16"/>
      <c r="J36" s="16"/>
      <c r="K36" s="16"/>
      <c r="L36" s="16"/>
      <c r="M36" s="16"/>
      <c r="N36" s="16"/>
      <c r="O36" s="347" t="s">
        <v>54</v>
      </c>
      <c r="P36" s="347"/>
      <c r="Q36" s="347"/>
      <c r="R36" s="347"/>
      <c r="S36" s="347"/>
    </row>
    <row r="37" spans="1:23" x14ac:dyDescent="0.3">
      <c r="A37" s="65"/>
      <c r="B37" s="347" t="s">
        <v>317</v>
      </c>
      <c r="C37" s="347"/>
      <c r="D37" s="347"/>
      <c r="E37" s="347"/>
      <c r="F37" s="42"/>
      <c r="G37" s="16"/>
      <c r="H37" s="16"/>
      <c r="I37" s="16"/>
      <c r="J37" s="16"/>
      <c r="K37" s="16"/>
      <c r="L37" s="16"/>
      <c r="M37" s="16"/>
      <c r="N37" s="16"/>
      <c r="O37" s="347" t="s">
        <v>185</v>
      </c>
      <c r="P37" s="347"/>
      <c r="Q37" s="347"/>
      <c r="R37" s="347"/>
      <c r="S37" s="347"/>
    </row>
    <row r="38" spans="1:23" ht="31.5" customHeight="1" x14ac:dyDescent="0.3">
      <c r="A38" s="65"/>
      <c r="B38" s="65"/>
      <c r="C38" s="65"/>
      <c r="D38" s="10"/>
      <c r="E38" s="16"/>
      <c r="F38" s="42"/>
      <c r="G38" s="16"/>
      <c r="H38" s="16"/>
      <c r="I38" s="16"/>
      <c r="J38" s="16"/>
      <c r="K38" s="16"/>
      <c r="L38" s="16"/>
      <c r="M38" s="16"/>
      <c r="N38" s="16"/>
      <c r="O38" s="16"/>
      <c r="P38" s="16"/>
      <c r="Q38" s="16"/>
      <c r="R38" s="16"/>
      <c r="S38" s="16"/>
    </row>
    <row r="39" spans="1:23" ht="4.5" customHeight="1" x14ac:dyDescent="0.3">
      <c r="A39" s="65"/>
      <c r="B39" s="65"/>
      <c r="C39" s="65"/>
      <c r="D39" s="10"/>
      <c r="E39" s="16"/>
      <c r="F39" s="42"/>
      <c r="G39" s="16"/>
      <c r="H39" s="16"/>
      <c r="I39" s="16"/>
      <c r="J39" s="16"/>
      <c r="K39" s="16"/>
      <c r="L39" s="16"/>
      <c r="M39" s="16"/>
      <c r="N39" s="16"/>
      <c r="O39" s="16"/>
      <c r="P39" s="16"/>
      <c r="Q39" s="16"/>
      <c r="R39" s="16"/>
      <c r="S39" s="16"/>
    </row>
    <row r="40" spans="1:23" x14ac:dyDescent="0.3">
      <c r="A40" s="65"/>
      <c r="B40" s="347" t="str">
        <f>CARIK!B46</f>
        <v>SUNARDI</v>
      </c>
      <c r="C40" s="347"/>
      <c r="D40" s="347"/>
      <c r="E40" s="347"/>
      <c r="F40" s="42"/>
      <c r="G40" s="16"/>
      <c r="H40" s="16"/>
      <c r="I40" s="16"/>
      <c r="J40" s="16"/>
      <c r="K40" s="16"/>
      <c r="L40" s="16"/>
      <c r="M40" s="16"/>
      <c r="N40" s="16"/>
      <c r="O40" s="347" t="s">
        <v>186</v>
      </c>
      <c r="P40" s="347"/>
      <c r="Q40" s="347"/>
      <c r="R40" s="347"/>
      <c r="S40" s="347"/>
    </row>
    <row r="53" spans="7:8" x14ac:dyDescent="0.3">
      <c r="G53" s="17">
        <f>326*75%</f>
        <v>244.5</v>
      </c>
      <c r="H53" s="17">
        <f>G53/5</f>
        <v>48.9</v>
      </c>
    </row>
  </sheetData>
  <mergeCells count="22">
    <mergeCell ref="B40:E40"/>
    <mergeCell ref="O40:S40"/>
    <mergeCell ref="E8:F8"/>
    <mergeCell ref="E9:F9"/>
    <mergeCell ref="V10:V24"/>
    <mergeCell ref="A33:D33"/>
    <mergeCell ref="O35:S35"/>
    <mergeCell ref="O36:S36"/>
    <mergeCell ref="B37:E37"/>
    <mergeCell ref="O37:S37"/>
    <mergeCell ref="A11:A14"/>
    <mergeCell ref="B11:B14"/>
    <mergeCell ref="A20:A32"/>
    <mergeCell ref="B20:B32"/>
    <mergeCell ref="A1:S1"/>
    <mergeCell ref="A6:A7"/>
    <mergeCell ref="B6:B7"/>
    <mergeCell ref="C6:C7"/>
    <mergeCell ref="D6:D7"/>
    <mergeCell ref="E6:F7"/>
    <mergeCell ref="G6:R6"/>
    <mergeCell ref="S6:S7"/>
  </mergeCells>
  <pageMargins left="0.39370078740157483" right="0.11811023622047245" top="0.94488188976377963" bottom="0.74803149606299213" header="0.31496062992125984" footer="0.31496062992125984"/>
  <pageSetup paperSize="14" scale="90" fitToHeight="0" orientation="portrait" r:id="rId1"/>
  <headerFooter>
    <oddFooter>Page &amp;P</oddFooter>
  </headerFooter>
  <rowBreaks count="1" manualBreakCount="1">
    <brk id="20" max="18" man="1"/>
  </row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980"/>
  <sheetViews>
    <sheetView topLeftCell="A16" workbookViewId="0">
      <selection activeCell="R42" sqref="R42"/>
    </sheetView>
  </sheetViews>
  <sheetFormatPr defaultColWidth="14.44140625" defaultRowHeight="15.6" x14ac:dyDescent="0.3"/>
  <cols>
    <col min="1" max="1" width="5" style="65" customWidth="1"/>
    <col min="2" max="2" width="13.88671875" style="65" customWidth="1"/>
    <col min="3" max="3" width="6.44140625" style="65" customWidth="1"/>
    <col min="4" max="4" width="24.33203125" style="16" customWidth="1"/>
    <col min="5" max="5" width="6.33203125" style="16" customWidth="1"/>
    <col min="6" max="6" width="11" style="16" customWidth="1"/>
    <col min="7" max="20" width="8.6640625" style="16" customWidth="1"/>
    <col min="21" max="21" width="118.44140625" style="16" customWidth="1"/>
    <col min="22" max="27" width="8.6640625" style="16" customWidth="1"/>
    <col min="28" max="16384" width="14.44140625" style="16"/>
  </cols>
  <sheetData>
    <row r="1" spans="1:23" x14ac:dyDescent="0.3">
      <c r="A1" s="342" t="s">
        <v>0</v>
      </c>
      <c r="B1" s="359"/>
      <c r="C1" s="359"/>
      <c r="D1" s="359"/>
      <c r="E1" s="359"/>
      <c r="F1" s="359"/>
      <c r="G1" s="359"/>
      <c r="H1" s="359"/>
      <c r="I1" s="359"/>
      <c r="J1" s="359"/>
      <c r="K1" s="359"/>
      <c r="L1" s="359"/>
      <c r="M1" s="359"/>
      <c r="N1" s="359"/>
      <c r="O1" s="359"/>
      <c r="P1" s="359"/>
      <c r="Q1" s="359"/>
      <c r="R1" s="359"/>
      <c r="S1" s="359"/>
    </row>
    <row r="2" spans="1:23" x14ac:dyDescent="0.3">
      <c r="A2" s="52"/>
      <c r="B2" s="52"/>
      <c r="C2" s="52"/>
      <c r="D2" s="81"/>
      <c r="E2" s="81"/>
      <c r="F2" s="42"/>
      <c r="G2" s="81"/>
      <c r="H2" s="81"/>
      <c r="I2" s="81"/>
      <c r="J2" s="81"/>
      <c r="K2" s="81"/>
      <c r="L2" s="81"/>
      <c r="M2" s="81"/>
      <c r="N2" s="81"/>
      <c r="O2" s="81"/>
      <c r="P2" s="81"/>
      <c r="Q2" s="81"/>
      <c r="R2" s="81"/>
      <c r="S2" s="81"/>
    </row>
    <row r="3" spans="1:23" x14ac:dyDescent="0.3">
      <c r="A3" s="65" t="s">
        <v>1</v>
      </c>
      <c r="D3" s="10" t="s">
        <v>173</v>
      </c>
      <c r="F3" s="42"/>
    </row>
    <row r="4" spans="1:23" x14ac:dyDescent="0.3">
      <c r="A4" s="65" t="s">
        <v>2</v>
      </c>
      <c r="D4" s="10" t="s">
        <v>187</v>
      </c>
      <c r="F4" s="42"/>
    </row>
    <row r="5" spans="1:23" x14ac:dyDescent="0.3">
      <c r="D5" s="10"/>
      <c r="F5" s="42"/>
    </row>
    <row r="6" spans="1:23" x14ac:dyDescent="0.3">
      <c r="A6" s="343" t="s">
        <v>3</v>
      </c>
      <c r="B6" s="343" t="s">
        <v>4</v>
      </c>
      <c r="C6" s="343"/>
      <c r="D6" s="275" t="s">
        <v>5</v>
      </c>
      <c r="E6" s="275" t="s">
        <v>6</v>
      </c>
      <c r="F6" s="361"/>
      <c r="G6" s="344" t="s">
        <v>105</v>
      </c>
      <c r="H6" s="345"/>
      <c r="I6" s="345"/>
      <c r="J6" s="345"/>
      <c r="K6" s="345"/>
      <c r="L6" s="345"/>
      <c r="M6" s="345"/>
      <c r="N6" s="345"/>
      <c r="O6" s="345"/>
      <c r="P6" s="345"/>
      <c r="Q6" s="345"/>
      <c r="R6" s="346"/>
      <c r="S6" s="275" t="s">
        <v>7</v>
      </c>
    </row>
    <row r="7" spans="1:23" x14ac:dyDescent="0.3">
      <c r="A7" s="360"/>
      <c r="B7" s="360"/>
      <c r="C7" s="343"/>
      <c r="D7" s="361"/>
      <c r="E7" s="361"/>
      <c r="F7" s="361"/>
      <c r="G7" s="40" t="s">
        <v>8</v>
      </c>
      <c r="H7" s="40" t="s">
        <v>9</v>
      </c>
      <c r="I7" s="40" t="s">
        <v>10</v>
      </c>
      <c r="J7" s="40" t="s">
        <v>11</v>
      </c>
      <c r="K7" s="40" t="s">
        <v>12</v>
      </c>
      <c r="L7" s="40" t="s">
        <v>13</v>
      </c>
      <c r="M7" s="40" t="s">
        <v>14</v>
      </c>
      <c r="N7" s="40" t="s">
        <v>15</v>
      </c>
      <c r="O7" s="40" t="s">
        <v>16</v>
      </c>
      <c r="P7" s="40" t="s">
        <v>17</v>
      </c>
      <c r="Q7" s="40" t="s">
        <v>18</v>
      </c>
      <c r="R7" s="40" t="s">
        <v>19</v>
      </c>
      <c r="S7" s="361"/>
    </row>
    <row r="8" spans="1:23" ht="16.2" x14ac:dyDescent="0.3">
      <c r="A8" s="67" t="s">
        <v>20</v>
      </c>
      <c r="B8" s="67" t="s">
        <v>21</v>
      </c>
      <c r="C8" s="67"/>
      <c r="D8" s="12" t="s">
        <v>22</v>
      </c>
      <c r="E8" s="362" t="s">
        <v>23</v>
      </c>
      <c r="F8" s="361"/>
      <c r="G8" s="12" t="s">
        <v>24</v>
      </c>
      <c r="H8" s="12" t="s">
        <v>25</v>
      </c>
      <c r="I8" s="12" t="s">
        <v>26</v>
      </c>
      <c r="J8" s="12" t="s">
        <v>27</v>
      </c>
      <c r="K8" s="12" t="s">
        <v>28</v>
      </c>
      <c r="L8" s="12" t="s">
        <v>29</v>
      </c>
      <c r="M8" s="12" t="s">
        <v>30</v>
      </c>
      <c r="N8" s="12" t="s">
        <v>31</v>
      </c>
      <c r="O8" s="12" t="s">
        <v>32</v>
      </c>
      <c r="P8" s="12" t="s">
        <v>33</v>
      </c>
      <c r="Q8" s="12" t="s">
        <v>34</v>
      </c>
      <c r="R8" s="12" t="s">
        <v>35</v>
      </c>
      <c r="S8" s="12" t="s">
        <v>36</v>
      </c>
    </row>
    <row r="9" spans="1:23" ht="16.8" thickBot="1" x14ac:dyDescent="0.35">
      <c r="A9" s="82"/>
      <c r="B9" s="82"/>
      <c r="C9" s="82"/>
      <c r="D9" s="83"/>
      <c r="E9" s="363"/>
      <c r="F9" s="361"/>
      <c r="G9" s="84"/>
      <c r="H9" s="84"/>
      <c r="I9" s="84"/>
      <c r="J9" s="84"/>
      <c r="K9" s="84"/>
      <c r="L9" s="84"/>
      <c r="M9" s="84"/>
      <c r="N9" s="84"/>
      <c r="O9" s="84"/>
      <c r="P9" s="84"/>
      <c r="Q9" s="84"/>
      <c r="R9" s="84"/>
      <c r="S9" s="84"/>
    </row>
    <row r="10" spans="1:23" ht="140.4" x14ac:dyDescent="0.3">
      <c r="A10" s="51">
        <v>1</v>
      </c>
      <c r="B10" s="60" t="s">
        <v>188</v>
      </c>
      <c r="C10" s="51" t="s">
        <v>20</v>
      </c>
      <c r="D10" s="30" t="s">
        <v>189</v>
      </c>
      <c r="E10" s="19"/>
      <c r="F10" s="45" t="s">
        <v>143</v>
      </c>
      <c r="G10" s="19"/>
      <c r="H10" s="19"/>
      <c r="I10" s="19"/>
      <c r="J10" s="19"/>
      <c r="K10" s="19"/>
      <c r="L10" s="19"/>
      <c r="M10" s="19"/>
      <c r="N10" s="19"/>
      <c r="O10" s="19"/>
      <c r="P10" s="19"/>
      <c r="Q10" s="19"/>
      <c r="R10" s="19"/>
      <c r="S10" s="19"/>
      <c r="V10" s="364"/>
      <c r="W10" s="85"/>
    </row>
    <row r="11" spans="1:23" ht="78" x14ac:dyDescent="0.3">
      <c r="A11" s="276"/>
      <c r="B11" s="276"/>
      <c r="C11" s="51" t="s">
        <v>21</v>
      </c>
      <c r="D11" s="30" t="s">
        <v>190</v>
      </c>
      <c r="E11" s="45"/>
      <c r="F11" s="45" t="s">
        <v>37</v>
      </c>
      <c r="G11" s="45"/>
      <c r="H11" s="45"/>
      <c r="I11" s="45"/>
      <c r="J11" s="45"/>
      <c r="K11" s="45"/>
      <c r="L11" s="45"/>
      <c r="M11" s="45"/>
      <c r="N11" s="45"/>
      <c r="O11" s="45"/>
      <c r="P11" s="45"/>
      <c r="Q11" s="45"/>
      <c r="R11" s="45"/>
      <c r="S11" s="45"/>
      <c r="V11" s="365"/>
      <c r="W11" s="85"/>
    </row>
    <row r="12" spans="1:23" ht="140.4" x14ac:dyDescent="0.3">
      <c r="A12" s="276"/>
      <c r="B12" s="276"/>
      <c r="C12" s="51" t="s">
        <v>22</v>
      </c>
      <c r="D12" s="30" t="s">
        <v>191</v>
      </c>
      <c r="E12" s="45"/>
      <c r="F12" s="45" t="s">
        <v>37</v>
      </c>
      <c r="G12" s="45"/>
      <c r="H12" s="45"/>
      <c r="I12" s="45"/>
      <c r="J12" s="45"/>
      <c r="K12" s="45"/>
      <c r="L12" s="45"/>
      <c r="M12" s="45"/>
      <c r="N12" s="45"/>
      <c r="O12" s="45"/>
      <c r="P12" s="45"/>
      <c r="Q12" s="45"/>
      <c r="R12" s="45"/>
      <c r="S12" s="45"/>
      <c r="V12" s="365"/>
      <c r="W12" s="85"/>
    </row>
    <row r="13" spans="1:23" ht="109.2" x14ac:dyDescent="0.3">
      <c r="A13" s="276"/>
      <c r="B13" s="276"/>
      <c r="C13" s="51" t="s">
        <v>23</v>
      </c>
      <c r="D13" s="30" t="s">
        <v>192</v>
      </c>
      <c r="E13" s="86"/>
      <c r="F13" s="45" t="s">
        <v>37</v>
      </c>
      <c r="G13" s="14"/>
      <c r="H13" s="14"/>
      <c r="I13" s="14"/>
      <c r="J13" s="14"/>
      <c r="K13" s="14"/>
      <c r="L13" s="14"/>
      <c r="M13" s="14"/>
      <c r="N13" s="14"/>
      <c r="O13" s="14"/>
      <c r="P13" s="14"/>
      <c r="Q13" s="14"/>
      <c r="R13" s="14"/>
      <c r="S13" s="14"/>
      <c r="V13" s="365"/>
      <c r="W13" s="85"/>
    </row>
    <row r="14" spans="1:23" ht="124.8" x14ac:dyDescent="0.3">
      <c r="A14" s="60">
        <v>2</v>
      </c>
      <c r="B14" s="23" t="s">
        <v>193</v>
      </c>
      <c r="C14" s="51" t="s">
        <v>20</v>
      </c>
      <c r="D14" s="14" t="s">
        <v>194</v>
      </c>
      <c r="E14" s="45"/>
      <c r="F14" s="45" t="s">
        <v>39</v>
      </c>
      <c r="G14" s="45"/>
      <c r="H14" s="45"/>
      <c r="I14" s="45"/>
      <c r="J14" s="45"/>
      <c r="K14" s="45"/>
      <c r="L14" s="45"/>
      <c r="M14" s="45"/>
      <c r="N14" s="45"/>
      <c r="O14" s="45"/>
      <c r="P14" s="45"/>
      <c r="Q14" s="45"/>
      <c r="R14" s="45"/>
      <c r="S14" s="45"/>
      <c r="V14" s="365"/>
      <c r="W14" s="85"/>
    </row>
    <row r="15" spans="1:23" ht="62.4" x14ac:dyDescent="0.3">
      <c r="A15" s="276"/>
      <c r="B15" s="276"/>
      <c r="C15" s="51" t="s">
        <v>21</v>
      </c>
      <c r="D15" s="30" t="s">
        <v>195</v>
      </c>
      <c r="E15" s="45"/>
      <c r="F15" s="45" t="s">
        <v>124</v>
      </c>
      <c r="G15" s="45"/>
      <c r="H15" s="45"/>
      <c r="I15" s="45"/>
      <c r="J15" s="45"/>
      <c r="K15" s="45"/>
      <c r="L15" s="45"/>
      <c r="M15" s="45"/>
      <c r="N15" s="45"/>
      <c r="O15" s="45"/>
      <c r="P15" s="45"/>
      <c r="Q15" s="45"/>
      <c r="R15" s="45"/>
      <c r="S15" s="45"/>
      <c r="V15" s="365"/>
      <c r="W15" s="85"/>
    </row>
    <row r="16" spans="1:23" ht="46.8" x14ac:dyDescent="0.3">
      <c r="A16" s="276"/>
      <c r="B16" s="276"/>
      <c r="C16" s="51" t="s">
        <v>22</v>
      </c>
      <c r="D16" s="30" t="s">
        <v>196</v>
      </c>
      <c r="E16" s="45"/>
      <c r="F16" s="45" t="s">
        <v>143</v>
      </c>
      <c r="G16" s="45"/>
      <c r="H16" s="45"/>
      <c r="I16" s="45"/>
      <c r="J16" s="45"/>
      <c r="K16" s="45"/>
      <c r="L16" s="45"/>
      <c r="M16" s="45"/>
      <c r="N16" s="45"/>
      <c r="O16" s="45"/>
      <c r="P16" s="45"/>
      <c r="Q16" s="45"/>
      <c r="R16" s="45"/>
      <c r="S16" s="45"/>
      <c r="V16" s="365"/>
      <c r="W16" s="85"/>
    </row>
    <row r="17" spans="1:23" ht="46.8" x14ac:dyDescent="0.3">
      <c r="A17" s="276"/>
      <c r="B17" s="276"/>
      <c r="C17" s="51" t="s">
        <v>23</v>
      </c>
      <c r="D17" s="30" t="s">
        <v>197</v>
      </c>
      <c r="E17" s="45"/>
      <c r="F17" s="45" t="s">
        <v>39</v>
      </c>
      <c r="G17" s="45"/>
      <c r="H17" s="45"/>
      <c r="I17" s="45"/>
      <c r="J17" s="45"/>
      <c r="K17" s="45"/>
      <c r="L17" s="45"/>
      <c r="M17" s="45"/>
      <c r="N17" s="45"/>
      <c r="O17" s="45"/>
      <c r="P17" s="45"/>
      <c r="Q17" s="45"/>
      <c r="R17" s="45"/>
      <c r="S17" s="45"/>
      <c r="V17" s="365"/>
      <c r="W17" s="85"/>
    </row>
    <row r="18" spans="1:23" ht="78" x14ac:dyDescent="0.3">
      <c r="A18" s="276"/>
      <c r="B18" s="276"/>
      <c r="C18" s="51" t="s">
        <v>24</v>
      </c>
      <c r="D18" s="30" t="s">
        <v>198</v>
      </c>
      <c r="E18" s="45"/>
      <c r="F18" s="45" t="s">
        <v>38</v>
      </c>
      <c r="G18" s="45"/>
      <c r="H18" s="45"/>
      <c r="I18" s="45"/>
      <c r="J18" s="45"/>
      <c r="K18" s="45"/>
      <c r="L18" s="45"/>
      <c r="M18" s="45"/>
      <c r="N18" s="45"/>
      <c r="O18" s="45"/>
      <c r="P18" s="45"/>
      <c r="Q18" s="45"/>
      <c r="R18" s="45"/>
      <c r="S18" s="45"/>
      <c r="V18" s="365"/>
      <c r="W18" s="85"/>
    </row>
    <row r="19" spans="1:23" ht="62.4" x14ac:dyDescent="0.3">
      <c r="A19" s="276"/>
      <c r="B19" s="276"/>
      <c r="C19" s="51" t="s">
        <v>25</v>
      </c>
      <c r="D19" s="30" t="s">
        <v>199</v>
      </c>
      <c r="E19" s="45"/>
      <c r="F19" s="45" t="s">
        <v>39</v>
      </c>
      <c r="G19" s="45"/>
      <c r="H19" s="45"/>
      <c r="I19" s="45"/>
      <c r="J19" s="45"/>
      <c r="K19" s="45"/>
      <c r="L19" s="45"/>
      <c r="M19" s="45"/>
      <c r="N19" s="45"/>
      <c r="O19" s="45"/>
      <c r="P19" s="45"/>
      <c r="Q19" s="45"/>
      <c r="R19" s="45"/>
      <c r="S19" s="45"/>
      <c r="V19" s="365"/>
      <c r="W19" s="85"/>
    </row>
    <row r="20" spans="1:23" ht="62.4" x14ac:dyDescent="0.3">
      <c r="A20" s="276"/>
      <c r="B20" s="276"/>
      <c r="C20" s="51" t="s">
        <v>26</v>
      </c>
      <c r="D20" s="30" t="s">
        <v>200</v>
      </c>
      <c r="E20" s="45"/>
      <c r="F20" s="45" t="s">
        <v>45</v>
      </c>
      <c r="G20" s="45"/>
      <c r="H20" s="45"/>
      <c r="I20" s="45"/>
      <c r="J20" s="45"/>
      <c r="K20" s="45"/>
      <c r="L20" s="45"/>
      <c r="M20" s="45"/>
      <c r="N20" s="45"/>
      <c r="O20" s="45"/>
      <c r="P20" s="45"/>
      <c r="Q20" s="45"/>
      <c r="R20" s="45"/>
      <c r="S20" s="45"/>
      <c r="V20" s="365"/>
      <c r="W20" s="85"/>
    </row>
    <row r="21" spans="1:23" ht="62.4" x14ac:dyDescent="0.3">
      <c r="A21" s="276"/>
      <c r="B21" s="276"/>
      <c r="C21" s="51" t="s">
        <v>27</v>
      </c>
      <c r="D21" s="30" t="s">
        <v>201</v>
      </c>
      <c r="E21" s="45"/>
      <c r="F21" s="45" t="s">
        <v>47</v>
      </c>
      <c r="G21" s="45"/>
      <c r="H21" s="45"/>
      <c r="I21" s="45"/>
      <c r="J21" s="45"/>
      <c r="K21" s="45"/>
      <c r="L21" s="45"/>
      <c r="M21" s="45"/>
      <c r="N21" s="45"/>
      <c r="O21" s="45"/>
      <c r="P21" s="45"/>
      <c r="Q21" s="45"/>
      <c r="R21" s="45"/>
      <c r="S21" s="45"/>
      <c r="V21" s="365"/>
      <c r="W21" s="85"/>
    </row>
    <row r="22" spans="1:23" ht="46.8" x14ac:dyDescent="0.3">
      <c r="A22" s="276"/>
      <c r="B22" s="276"/>
      <c r="C22" s="51" t="s">
        <v>28</v>
      </c>
      <c r="D22" s="30" t="s">
        <v>202</v>
      </c>
      <c r="E22" s="45"/>
      <c r="F22" s="45" t="s">
        <v>40</v>
      </c>
      <c r="G22" s="45"/>
      <c r="H22" s="45"/>
      <c r="I22" s="45"/>
      <c r="J22" s="45"/>
      <c r="K22" s="45"/>
      <c r="L22" s="45"/>
      <c r="M22" s="45"/>
      <c r="N22" s="45"/>
      <c r="O22" s="45"/>
      <c r="P22" s="45"/>
      <c r="Q22" s="45"/>
      <c r="R22" s="45"/>
      <c r="S22" s="45"/>
      <c r="V22" s="365"/>
      <c r="W22" s="85"/>
    </row>
    <row r="23" spans="1:23" ht="62.4" x14ac:dyDescent="0.3">
      <c r="A23" s="276"/>
      <c r="B23" s="276"/>
      <c r="C23" s="51" t="s">
        <v>29</v>
      </c>
      <c r="D23" s="30" t="s">
        <v>203</v>
      </c>
      <c r="E23" s="45"/>
      <c r="F23" s="45" t="s">
        <v>39</v>
      </c>
      <c r="G23" s="45"/>
      <c r="H23" s="45"/>
      <c r="I23" s="45"/>
      <c r="J23" s="45"/>
      <c r="K23" s="45"/>
      <c r="L23" s="45"/>
      <c r="M23" s="45"/>
      <c r="N23" s="45"/>
      <c r="O23" s="45"/>
      <c r="P23" s="45"/>
      <c r="Q23" s="45"/>
      <c r="R23" s="45"/>
      <c r="S23" s="45"/>
      <c r="V23" s="365"/>
      <c r="W23" s="85"/>
    </row>
    <row r="24" spans="1:23" ht="78" x14ac:dyDescent="0.3">
      <c r="A24" s="276"/>
      <c r="B24" s="276"/>
      <c r="C24" s="51" t="s">
        <v>30</v>
      </c>
      <c r="D24" s="30" t="s">
        <v>204</v>
      </c>
      <c r="E24" s="45"/>
      <c r="F24" s="45" t="s">
        <v>38</v>
      </c>
      <c r="G24" s="45"/>
      <c r="H24" s="45"/>
      <c r="I24" s="45"/>
      <c r="J24" s="45"/>
      <c r="K24" s="45"/>
      <c r="L24" s="45"/>
      <c r="M24" s="45"/>
      <c r="N24" s="45"/>
      <c r="O24" s="45"/>
      <c r="P24" s="45"/>
      <c r="Q24" s="45"/>
      <c r="R24" s="45"/>
      <c r="S24" s="45"/>
      <c r="V24" s="365"/>
      <c r="W24" s="85"/>
    </row>
    <row r="25" spans="1:23" ht="78" x14ac:dyDescent="0.3">
      <c r="A25" s="276"/>
      <c r="B25" s="276"/>
      <c r="C25" s="51" t="s">
        <v>31</v>
      </c>
      <c r="D25" s="30" t="s">
        <v>205</v>
      </c>
      <c r="E25" s="45"/>
      <c r="F25" s="45" t="s">
        <v>38</v>
      </c>
      <c r="G25" s="45"/>
      <c r="H25" s="45"/>
      <c r="I25" s="45"/>
      <c r="J25" s="45"/>
      <c r="K25" s="45"/>
      <c r="L25" s="45"/>
      <c r="M25" s="45"/>
      <c r="N25" s="45"/>
      <c r="O25" s="45"/>
      <c r="P25" s="45"/>
      <c r="Q25" s="45"/>
      <c r="R25" s="45"/>
      <c r="S25" s="45"/>
      <c r="V25" s="87"/>
      <c r="W25" s="85"/>
    </row>
    <row r="26" spans="1:23" ht="63" thickBot="1" x14ac:dyDescent="0.35">
      <c r="A26" s="276"/>
      <c r="B26" s="276"/>
      <c r="C26" s="51" t="s">
        <v>32</v>
      </c>
      <c r="D26" s="30" t="s">
        <v>206</v>
      </c>
      <c r="E26" s="45"/>
      <c r="F26" s="45" t="s">
        <v>38</v>
      </c>
      <c r="G26" s="45"/>
      <c r="H26" s="45"/>
      <c r="I26" s="45"/>
      <c r="J26" s="45"/>
      <c r="K26" s="45"/>
      <c r="L26" s="45"/>
      <c r="M26" s="45"/>
      <c r="N26" s="45"/>
      <c r="O26" s="45"/>
      <c r="P26" s="45"/>
      <c r="Q26" s="45"/>
      <c r="R26" s="45"/>
      <c r="S26" s="45"/>
      <c r="V26" s="88"/>
      <c r="W26" s="85"/>
    </row>
    <row r="27" spans="1:23" ht="94.2" thickBot="1" x14ac:dyDescent="0.35">
      <c r="A27" s="276"/>
      <c r="B27" s="276"/>
      <c r="C27" s="51" t="s">
        <v>33</v>
      </c>
      <c r="D27" s="30" t="s">
        <v>207</v>
      </c>
      <c r="E27" s="45"/>
      <c r="F27" s="45" t="s">
        <v>183</v>
      </c>
      <c r="G27" s="45"/>
      <c r="H27" s="45"/>
      <c r="I27" s="45"/>
      <c r="J27" s="45"/>
      <c r="K27" s="45"/>
      <c r="L27" s="45"/>
      <c r="M27" s="45"/>
      <c r="N27" s="45"/>
      <c r="O27" s="45"/>
      <c r="P27" s="45"/>
      <c r="Q27" s="45"/>
      <c r="R27" s="45"/>
      <c r="S27" s="45"/>
      <c r="V27" s="88" t="s">
        <v>158</v>
      </c>
      <c r="W27" s="85"/>
    </row>
    <row r="28" spans="1:23" ht="202.8" x14ac:dyDescent="0.3">
      <c r="A28" s="56">
        <v>3</v>
      </c>
      <c r="B28" s="60" t="s">
        <v>208</v>
      </c>
      <c r="C28" s="51" t="s">
        <v>20</v>
      </c>
      <c r="D28" s="60" t="s">
        <v>209</v>
      </c>
      <c r="E28" s="72"/>
      <c r="F28" s="56" t="s">
        <v>37</v>
      </c>
      <c r="G28" s="72"/>
      <c r="H28" s="72"/>
      <c r="I28" s="72"/>
      <c r="J28" s="72"/>
      <c r="K28" s="72"/>
      <c r="L28" s="72"/>
      <c r="M28" s="72"/>
      <c r="N28" s="72"/>
      <c r="O28" s="72"/>
      <c r="P28" s="72"/>
      <c r="Q28" s="72"/>
      <c r="R28" s="72"/>
      <c r="S28" s="72"/>
    </row>
    <row r="29" spans="1:23" ht="124.8" x14ac:dyDescent="0.3">
      <c r="A29" s="367"/>
      <c r="B29" s="367"/>
      <c r="C29" s="51" t="s">
        <v>21</v>
      </c>
      <c r="D29" s="60" t="s">
        <v>210</v>
      </c>
      <c r="E29" s="72"/>
      <c r="F29" s="56" t="s">
        <v>37</v>
      </c>
      <c r="G29" s="72"/>
      <c r="H29" s="72"/>
      <c r="I29" s="72"/>
      <c r="J29" s="72"/>
      <c r="K29" s="72"/>
      <c r="L29" s="72"/>
      <c r="M29" s="72"/>
      <c r="N29" s="72"/>
      <c r="O29" s="72"/>
      <c r="P29" s="72"/>
      <c r="Q29" s="72"/>
      <c r="R29" s="72"/>
      <c r="S29" s="72"/>
    </row>
    <row r="30" spans="1:23" ht="140.4" x14ac:dyDescent="0.3">
      <c r="A30" s="367"/>
      <c r="B30" s="367"/>
      <c r="C30" s="51" t="s">
        <v>22</v>
      </c>
      <c r="D30" s="60" t="s">
        <v>211</v>
      </c>
      <c r="E30" s="72"/>
      <c r="F30" s="56" t="s">
        <v>37</v>
      </c>
      <c r="G30" s="72"/>
      <c r="H30" s="72"/>
      <c r="I30" s="72"/>
      <c r="J30" s="72"/>
      <c r="K30" s="72"/>
      <c r="L30" s="72"/>
      <c r="M30" s="72"/>
      <c r="N30" s="72"/>
      <c r="O30" s="72"/>
      <c r="P30" s="72"/>
      <c r="Q30" s="72"/>
      <c r="R30" s="72"/>
      <c r="S30" s="72"/>
    </row>
    <row r="31" spans="1:23" ht="93.6" x14ac:dyDescent="0.3">
      <c r="A31" s="367"/>
      <c r="B31" s="367"/>
      <c r="C31" s="51" t="s">
        <v>23</v>
      </c>
      <c r="D31" s="60" t="s">
        <v>212</v>
      </c>
      <c r="E31" s="72"/>
      <c r="F31" s="56" t="s">
        <v>37</v>
      </c>
      <c r="G31" s="72"/>
      <c r="H31" s="72"/>
      <c r="I31" s="72"/>
      <c r="J31" s="72"/>
      <c r="K31" s="72"/>
      <c r="L31" s="72"/>
      <c r="M31" s="72"/>
      <c r="N31" s="72"/>
      <c r="O31" s="72"/>
      <c r="P31" s="72"/>
      <c r="Q31" s="72"/>
      <c r="R31" s="72"/>
      <c r="S31" s="72"/>
    </row>
    <row r="32" spans="1:23" ht="78" x14ac:dyDescent="0.3">
      <c r="A32" s="71"/>
      <c r="B32" s="71"/>
      <c r="C32" s="56" t="s">
        <v>24</v>
      </c>
      <c r="D32" s="45" t="s">
        <v>103</v>
      </c>
      <c r="E32" s="72"/>
      <c r="F32" s="22" t="s">
        <v>38</v>
      </c>
      <c r="G32" s="72"/>
      <c r="H32" s="72"/>
      <c r="I32" s="72"/>
      <c r="J32" s="72"/>
      <c r="K32" s="72"/>
      <c r="L32" s="72"/>
      <c r="M32" s="72"/>
      <c r="N32" s="72"/>
      <c r="O32" s="72"/>
      <c r="P32" s="72"/>
      <c r="Q32" s="72"/>
      <c r="R32" s="72"/>
      <c r="S32" s="72"/>
    </row>
    <row r="33" spans="1:19" x14ac:dyDescent="0.3">
      <c r="A33" s="71"/>
      <c r="B33" s="71"/>
      <c r="C33" s="71"/>
      <c r="D33" s="73"/>
      <c r="E33" s="72"/>
      <c r="F33" s="89"/>
      <c r="G33" s="72"/>
      <c r="H33" s="72"/>
      <c r="I33" s="72"/>
      <c r="J33" s="72"/>
      <c r="K33" s="72"/>
      <c r="L33" s="72"/>
      <c r="M33" s="72"/>
      <c r="N33" s="72"/>
      <c r="O33" s="72"/>
      <c r="P33" s="72"/>
      <c r="Q33" s="72"/>
      <c r="R33" s="72"/>
      <c r="S33" s="72"/>
    </row>
    <row r="34" spans="1:19" x14ac:dyDescent="0.3">
      <c r="A34" s="368" t="s">
        <v>74</v>
      </c>
      <c r="B34" s="369"/>
      <c r="C34" s="369"/>
      <c r="D34" s="370"/>
      <c r="E34" s="72"/>
      <c r="F34" s="89"/>
      <c r="G34" s="72"/>
      <c r="H34" s="72"/>
      <c r="I34" s="72"/>
      <c r="J34" s="72"/>
      <c r="K34" s="72"/>
      <c r="L34" s="72"/>
      <c r="M34" s="72"/>
      <c r="N34" s="72"/>
      <c r="O34" s="72"/>
      <c r="P34" s="72"/>
      <c r="Q34" s="72"/>
      <c r="R34" s="72"/>
      <c r="S34" s="72"/>
    </row>
    <row r="35" spans="1:19" x14ac:dyDescent="0.3">
      <c r="D35" s="10"/>
      <c r="F35" s="42"/>
      <c r="O35" s="355" t="s">
        <v>215</v>
      </c>
      <c r="P35" s="366"/>
      <c r="Q35" s="366"/>
      <c r="R35" s="366"/>
      <c r="S35" s="366"/>
    </row>
    <row r="36" spans="1:19" x14ac:dyDescent="0.3">
      <c r="D36" s="10"/>
      <c r="F36" s="42"/>
      <c r="O36" s="347" t="s">
        <v>54</v>
      </c>
      <c r="P36" s="366"/>
      <c r="Q36" s="366"/>
      <c r="R36" s="366"/>
      <c r="S36" s="366"/>
    </row>
    <row r="37" spans="1:19" x14ac:dyDescent="0.3">
      <c r="B37" s="347" t="s">
        <v>214</v>
      </c>
      <c r="C37" s="347"/>
      <c r="D37" s="366"/>
      <c r="E37" s="366"/>
      <c r="F37" s="42"/>
      <c r="O37" s="347" t="s">
        <v>213</v>
      </c>
      <c r="P37" s="366"/>
      <c r="Q37" s="366"/>
      <c r="R37" s="366"/>
      <c r="S37" s="366"/>
    </row>
    <row r="38" spans="1:19" x14ac:dyDescent="0.3">
      <c r="D38" s="10"/>
      <c r="F38" s="42"/>
    </row>
    <row r="39" spans="1:19" x14ac:dyDescent="0.3">
      <c r="D39" s="10"/>
      <c r="F39" s="42"/>
    </row>
    <row r="40" spans="1:19" x14ac:dyDescent="0.3">
      <c r="B40" s="347" t="s">
        <v>77</v>
      </c>
      <c r="C40" s="347"/>
      <c r="D40" s="366"/>
      <c r="E40" s="366"/>
      <c r="F40" s="42"/>
      <c r="O40" s="347" t="s">
        <v>186</v>
      </c>
      <c r="P40" s="366"/>
      <c r="Q40" s="366"/>
      <c r="R40" s="366"/>
      <c r="S40" s="366"/>
    </row>
    <row r="41" spans="1:19" x14ac:dyDescent="0.3">
      <c r="D41" s="90"/>
      <c r="F41" s="42"/>
    </row>
    <row r="42" spans="1:19" x14ac:dyDescent="0.3">
      <c r="D42" s="90"/>
      <c r="F42" s="42"/>
    </row>
    <row r="43" spans="1:19" x14ac:dyDescent="0.3">
      <c r="D43" s="90"/>
      <c r="F43" s="42"/>
    </row>
    <row r="44" spans="1:19" x14ac:dyDescent="0.3">
      <c r="D44" s="90"/>
      <c r="F44" s="42"/>
    </row>
    <row r="45" spans="1:19" x14ac:dyDescent="0.3">
      <c r="D45" s="90"/>
      <c r="F45" s="42"/>
    </row>
    <row r="46" spans="1:19" x14ac:dyDescent="0.3">
      <c r="D46" s="90"/>
      <c r="F46" s="42"/>
    </row>
    <row r="47" spans="1:19" x14ac:dyDescent="0.3">
      <c r="D47" s="90"/>
      <c r="F47" s="42"/>
    </row>
    <row r="48" spans="1:19" x14ac:dyDescent="0.3">
      <c r="D48" s="90"/>
      <c r="F48" s="42"/>
    </row>
    <row r="49" spans="4:6" x14ac:dyDescent="0.3">
      <c r="D49" s="90"/>
      <c r="F49" s="42"/>
    </row>
    <row r="50" spans="4:6" x14ac:dyDescent="0.3">
      <c r="D50" s="90"/>
      <c r="F50" s="42"/>
    </row>
    <row r="51" spans="4:6" x14ac:dyDescent="0.3">
      <c r="D51" s="90"/>
      <c r="F51" s="42"/>
    </row>
    <row r="52" spans="4:6" x14ac:dyDescent="0.3">
      <c r="D52" s="90"/>
      <c r="F52" s="42"/>
    </row>
    <row r="53" spans="4:6" x14ac:dyDescent="0.3">
      <c r="D53" s="90"/>
      <c r="F53" s="42"/>
    </row>
    <row r="54" spans="4:6" x14ac:dyDescent="0.3">
      <c r="D54" s="90"/>
      <c r="F54" s="42"/>
    </row>
    <row r="55" spans="4:6" x14ac:dyDescent="0.3">
      <c r="D55" s="90"/>
      <c r="F55" s="42"/>
    </row>
    <row r="56" spans="4:6" x14ac:dyDescent="0.3">
      <c r="D56" s="90"/>
      <c r="F56" s="42"/>
    </row>
    <row r="57" spans="4:6" x14ac:dyDescent="0.3">
      <c r="D57" s="90"/>
      <c r="F57" s="42"/>
    </row>
    <row r="58" spans="4:6" x14ac:dyDescent="0.3">
      <c r="D58" s="90"/>
      <c r="F58" s="42"/>
    </row>
    <row r="59" spans="4:6" x14ac:dyDescent="0.3">
      <c r="D59" s="90"/>
      <c r="F59" s="42"/>
    </row>
    <row r="60" spans="4:6" x14ac:dyDescent="0.3">
      <c r="D60" s="90"/>
      <c r="F60" s="42"/>
    </row>
    <row r="61" spans="4:6" x14ac:dyDescent="0.3">
      <c r="D61" s="90"/>
      <c r="F61" s="42"/>
    </row>
    <row r="62" spans="4:6" x14ac:dyDescent="0.3">
      <c r="D62" s="90"/>
      <c r="F62" s="42"/>
    </row>
    <row r="63" spans="4:6" x14ac:dyDescent="0.3">
      <c r="D63" s="90"/>
      <c r="F63" s="42"/>
    </row>
    <row r="64" spans="4:6" x14ac:dyDescent="0.3">
      <c r="D64" s="90"/>
      <c r="F64" s="42"/>
    </row>
    <row r="65" spans="4:6" x14ac:dyDescent="0.3">
      <c r="D65" s="90"/>
      <c r="F65" s="42"/>
    </row>
    <row r="66" spans="4:6" x14ac:dyDescent="0.3">
      <c r="D66" s="90"/>
      <c r="F66" s="42"/>
    </row>
    <row r="67" spans="4:6" x14ac:dyDescent="0.3">
      <c r="D67" s="90"/>
      <c r="F67" s="42"/>
    </row>
    <row r="68" spans="4:6" x14ac:dyDescent="0.3">
      <c r="D68" s="90"/>
      <c r="F68" s="42"/>
    </row>
    <row r="69" spans="4:6" x14ac:dyDescent="0.3">
      <c r="D69" s="90"/>
      <c r="F69" s="42"/>
    </row>
    <row r="70" spans="4:6" x14ac:dyDescent="0.3">
      <c r="D70" s="90"/>
      <c r="F70" s="42"/>
    </row>
    <row r="71" spans="4:6" x14ac:dyDescent="0.3">
      <c r="D71" s="90"/>
      <c r="F71" s="42"/>
    </row>
    <row r="72" spans="4:6" x14ac:dyDescent="0.3">
      <c r="D72" s="90"/>
      <c r="F72" s="42"/>
    </row>
    <row r="73" spans="4:6" x14ac:dyDescent="0.3">
      <c r="D73" s="90"/>
      <c r="F73" s="42"/>
    </row>
    <row r="74" spans="4:6" x14ac:dyDescent="0.3">
      <c r="D74" s="90"/>
      <c r="F74" s="42"/>
    </row>
    <row r="75" spans="4:6" x14ac:dyDescent="0.3">
      <c r="D75" s="90"/>
      <c r="F75" s="42"/>
    </row>
    <row r="76" spans="4:6" x14ac:dyDescent="0.3">
      <c r="D76" s="90"/>
      <c r="F76" s="42"/>
    </row>
    <row r="77" spans="4:6" x14ac:dyDescent="0.3">
      <c r="D77" s="90"/>
      <c r="F77" s="42"/>
    </row>
    <row r="78" spans="4:6" x14ac:dyDescent="0.3">
      <c r="D78" s="90"/>
      <c r="F78" s="42"/>
    </row>
    <row r="79" spans="4:6" x14ac:dyDescent="0.3">
      <c r="D79" s="90"/>
      <c r="F79" s="42"/>
    </row>
    <row r="80" spans="4:6" x14ac:dyDescent="0.3">
      <c r="D80" s="90"/>
      <c r="F80" s="42"/>
    </row>
    <row r="81" spans="4:6" x14ac:dyDescent="0.3">
      <c r="D81" s="90"/>
      <c r="F81" s="42"/>
    </row>
    <row r="82" spans="4:6" x14ac:dyDescent="0.3">
      <c r="D82" s="90"/>
      <c r="F82" s="42"/>
    </row>
    <row r="83" spans="4:6" x14ac:dyDescent="0.3">
      <c r="D83" s="90"/>
      <c r="F83" s="42"/>
    </row>
    <row r="84" spans="4:6" x14ac:dyDescent="0.3">
      <c r="D84" s="90"/>
      <c r="F84" s="42"/>
    </row>
    <row r="85" spans="4:6" x14ac:dyDescent="0.3">
      <c r="D85" s="90"/>
      <c r="F85" s="42"/>
    </row>
    <row r="86" spans="4:6" x14ac:dyDescent="0.3">
      <c r="D86" s="90"/>
      <c r="F86" s="42"/>
    </row>
    <row r="87" spans="4:6" x14ac:dyDescent="0.3">
      <c r="D87" s="90"/>
      <c r="F87" s="42"/>
    </row>
    <row r="88" spans="4:6" x14ac:dyDescent="0.3">
      <c r="D88" s="90"/>
      <c r="F88" s="42"/>
    </row>
    <row r="89" spans="4:6" x14ac:dyDescent="0.3">
      <c r="D89" s="90"/>
      <c r="F89" s="42"/>
    </row>
    <row r="90" spans="4:6" x14ac:dyDescent="0.3">
      <c r="D90" s="90"/>
      <c r="F90" s="42"/>
    </row>
    <row r="91" spans="4:6" x14ac:dyDescent="0.3">
      <c r="D91" s="90"/>
      <c r="F91" s="42"/>
    </row>
    <row r="92" spans="4:6" x14ac:dyDescent="0.3">
      <c r="D92" s="90"/>
      <c r="F92" s="42"/>
    </row>
    <row r="93" spans="4:6" x14ac:dyDescent="0.3">
      <c r="D93" s="90"/>
      <c r="F93" s="42"/>
    </row>
    <row r="94" spans="4:6" x14ac:dyDescent="0.3">
      <c r="D94" s="90"/>
      <c r="F94" s="42"/>
    </row>
    <row r="95" spans="4:6" x14ac:dyDescent="0.3">
      <c r="D95" s="90"/>
      <c r="F95" s="42"/>
    </row>
    <row r="96" spans="4:6" x14ac:dyDescent="0.3">
      <c r="D96" s="90"/>
      <c r="F96" s="42"/>
    </row>
    <row r="97" spans="4:6" x14ac:dyDescent="0.3">
      <c r="D97" s="90"/>
      <c r="F97" s="42"/>
    </row>
    <row r="98" spans="4:6" x14ac:dyDescent="0.3">
      <c r="D98" s="90"/>
      <c r="F98" s="42"/>
    </row>
    <row r="99" spans="4:6" x14ac:dyDescent="0.3">
      <c r="D99" s="90"/>
      <c r="F99" s="42"/>
    </row>
    <row r="100" spans="4:6" x14ac:dyDescent="0.3">
      <c r="D100" s="90"/>
      <c r="F100" s="42"/>
    </row>
    <row r="101" spans="4:6" x14ac:dyDescent="0.3">
      <c r="D101" s="90"/>
      <c r="F101" s="42"/>
    </row>
    <row r="102" spans="4:6" x14ac:dyDescent="0.3">
      <c r="D102" s="90"/>
      <c r="F102" s="42"/>
    </row>
    <row r="103" spans="4:6" x14ac:dyDescent="0.3">
      <c r="D103" s="90"/>
      <c r="F103" s="42"/>
    </row>
    <row r="104" spans="4:6" x14ac:dyDescent="0.3">
      <c r="D104" s="90"/>
      <c r="F104" s="42"/>
    </row>
    <row r="105" spans="4:6" x14ac:dyDescent="0.3">
      <c r="D105" s="90"/>
      <c r="F105" s="42"/>
    </row>
    <row r="106" spans="4:6" x14ac:dyDescent="0.3">
      <c r="D106" s="90"/>
      <c r="F106" s="42"/>
    </row>
    <row r="107" spans="4:6" x14ac:dyDescent="0.3">
      <c r="D107" s="90"/>
      <c r="F107" s="42"/>
    </row>
    <row r="108" spans="4:6" x14ac:dyDescent="0.3">
      <c r="D108" s="90"/>
      <c r="F108" s="42"/>
    </row>
    <row r="109" spans="4:6" x14ac:dyDescent="0.3">
      <c r="D109" s="90"/>
      <c r="F109" s="42"/>
    </row>
    <row r="110" spans="4:6" x14ac:dyDescent="0.3">
      <c r="D110" s="90"/>
      <c r="F110" s="42"/>
    </row>
    <row r="111" spans="4:6" x14ac:dyDescent="0.3">
      <c r="D111" s="90"/>
      <c r="F111" s="42"/>
    </row>
    <row r="112" spans="4:6" x14ac:dyDescent="0.3">
      <c r="D112" s="90"/>
      <c r="F112" s="42"/>
    </row>
    <row r="113" spans="4:6" x14ac:dyDescent="0.3">
      <c r="D113" s="90"/>
      <c r="F113" s="42"/>
    </row>
    <row r="114" spans="4:6" x14ac:dyDescent="0.3">
      <c r="D114" s="90"/>
      <c r="F114" s="42"/>
    </row>
    <row r="115" spans="4:6" x14ac:dyDescent="0.3">
      <c r="D115" s="90"/>
      <c r="F115" s="42"/>
    </row>
    <row r="116" spans="4:6" x14ac:dyDescent="0.3">
      <c r="D116" s="90"/>
      <c r="F116" s="42"/>
    </row>
    <row r="117" spans="4:6" x14ac:dyDescent="0.3">
      <c r="D117" s="90"/>
      <c r="F117" s="42"/>
    </row>
    <row r="118" spans="4:6" x14ac:dyDescent="0.3">
      <c r="D118" s="90"/>
      <c r="F118" s="42"/>
    </row>
    <row r="119" spans="4:6" x14ac:dyDescent="0.3">
      <c r="D119" s="90"/>
      <c r="F119" s="42"/>
    </row>
    <row r="120" spans="4:6" x14ac:dyDescent="0.3">
      <c r="D120" s="90"/>
      <c r="F120" s="42"/>
    </row>
    <row r="121" spans="4:6" x14ac:dyDescent="0.3">
      <c r="D121" s="90"/>
      <c r="F121" s="42"/>
    </row>
    <row r="122" spans="4:6" x14ac:dyDescent="0.3">
      <c r="D122" s="90"/>
      <c r="F122" s="42"/>
    </row>
    <row r="123" spans="4:6" x14ac:dyDescent="0.3">
      <c r="D123" s="90"/>
      <c r="F123" s="42"/>
    </row>
    <row r="124" spans="4:6" x14ac:dyDescent="0.3">
      <c r="D124" s="90"/>
      <c r="F124" s="42"/>
    </row>
    <row r="125" spans="4:6" x14ac:dyDescent="0.3">
      <c r="D125" s="90"/>
      <c r="F125" s="42"/>
    </row>
    <row r="126" spans="4:6" x14ac:dyDescent="0.3">
      <c r="D126" s="90"/>
      <c r="F126" s="42"/>
    </row>
    <row r="127" spans="4:6" x14ac:dyDescent="0.3">
      <c r="D127" s="90"/>
      <c r="F127" s="42"/>
    </row>
    <row r="128" spans="4:6" x14ac:dyDescent="0.3">
      <c r="D128" s="90"/>
      <c r="F128" s="42"/>
    </row>
    <row r="129" spans="4:6" x14ac:dyDescent="0.3">
      <c r="D129" s="90"/>
      <c r="F129" s="42"/>
    </row>
    <row r="130" spans="4:6" x14ac:dyDescent="0.3">
      <c r="D130" s="90"/>
      <c r="F130" s="42"/>
    </row>
    <row r="131" spans="4:6" x14ac:dyDescent="0.3">
      <c r="D131" s="90"/>
      <c r="F131" s="42"/>
    </row>
    <row r="132" spans="4:6" x14ac:dyDescent="0.3">
      <c r="D132" s="90"/>
      <c r="F132" s="42"/>
    </row>
    <row r="133" spans="4:6" x14ac:dyDescent="0.3">
      <c r="D133" s="90"/>
      <c r="F133" s="42"/>
    </row>
    <row r="134" spans="4:6" x14ac:dyDescent="0.3">
      <c r="D134" s="90"/>
      <c r="F134" s="42"/>
    </row>
    <row r="135" spans="4:6" x14ac:dyDescent="0.3">
      <c r="D135" s="90"/>
      <c r="F135" s="42"/>
    </row>
    <row r="136" spans="4:6" x14ac:dyDescent="0.3">
      <c r="D136" s="90"/>
      <c r="F136" s="42"/>
    </row>
    <row r="137" spans="4:6" x14ac:dyDescent="0.3">
      <c r="D137" s="90"/>
      <c r="F137" s="42"/>
    </row>
    <row r="138" spans="4:6" x14ac:dyDescent="0.3">
      <c r="D138" s="90"/>
      <c r="F138" s="42"/>
    </row>
    <row r="139" spans="4:6" x14ac:dyDescent="0.3">
      <c r="D139" s="90"/>
      <c r="F139" s="42"/>
    </row>
    <row r="140" spans="4:6" x14ac:dyDescent="0.3">
      <c r="D140" s="90"/>
      <c r="F140" s="42"/>
    </row>
    <row r="141" spans="4:6" x14ac:dyDescent="0.3">
      <c r="D141" s="90"/>
      <c r="F141" s="42"/>
    </row>
    <row r="142" spans="4:6" x14ac:dyDescent="0.3">
      <c r="D142" s="90"/>
      <c r="F142" s="42"/>
    </row>
    <row r="143" spans="4:6" x14ac:dyDescent="0.3">
      <c r="D143" s="90"/>
      <c r="F143" s="42"/>
    </row>
    <row r="144" spans="4:6" x14ac:dyDescent="0.3">
      <c r="D144" s="90"/>
      <c r="F144" s="42"/>
    </row>
    <row r="145" spans="4:6" x14ac:dyDescent="0.3">
      <c r="D145" s="90"/>
      <c r="F145" s="42"/>
    </row>
    <row r="146" spans="4:6" x14ac:dyDescent="0.3">
      <c r="D146" s="90"/>
      <c r="F146" s="42"/>
    </row>
    <row r="147" spans="4:6" x14ac:dyDescent="0.3">
      <c r="D147" s="90"/>
      <c r="F147" s="42"/>
    </row>
    <row r="148" spans="4:6" x14ac:dyDescent="0.3">
      <c r="D148" s="90"/>
      <c r="F148" s="42"/>
    </row>
    <row r="149" spans="4:6" x14ac:dyDescent="0.3">
      <c r="D149" s="90"/>
      <c r="F149" s="42"/>
    </row>
    <row r="150" spans="4:6" x14ac:dyDescent="0.3">
      <c r="D150" s="90"/>
      <c r="F150" s="42"/>
    </row>
    <row r="151" spans="4:6" x14ac:dyDescent="0.3">
      <c r="D151" s="90"/>
      <c r="F151" s="42"/>
    </row>
    <row r="152" spans="4:6" x14ac:dyDescent="0.3">
      <c r="D152" s="90"/>
      <c r="F152" s="42"/>
    </row>
    <row r="153" spans="4:6" x14ac:dyDescent="0.3">
      <c r="D153" s="90"/>
      <c r="F153" s="42"/>
    </row>
    <row r="154" spans="4:6" x14ac:dyDescent="0.3">
      <c r="D154" s="90"/>
      <c r="F154" s="42"/>
    </row>
    <row r="155" spans="4:6" x14ac:dyDescent="0.3">
      <c r="D155" s="90"/>
      <c r="F155" s="42"/>
    </row>
    <row r="156" spans="4:6" x14ac:dyDescent="0.3">
      <c r="D156" s="90"/>
      <c r="F156" s="42"/>
    </row>
    <row r="157" spans="4:6" x14ac:dyDescent="0.3">
      <c r="D157" s="90"/>
      <c r="F157" s="42"/>
    </row>
    <row r="158" spans="4:6" x14ac:dyDescent="0.3">
      <c r="D158" s="90"/>
      <c r="F158" s="42"/>
    </row>
    <row r="159" spans="4:6" x14ac:dyDescent="0.3">
      <c r="D159" s="90"/>
      <c r="F159" s="42"/>
    </row>
    <row r="160" spans="4:6" x14ac:dyDescent="0.3">
      <c r="D160" s="90"/>
      <c r="F160" s="42"/>
    </row>
    <row r="161" spans="4:6" x14ac:dyDescent="0.3">
      <c r="D161" s="90"/>
      <c r="F161" s="42"/>
    </row>
    <row r="162" spans="4:6" x14ac:dyDescent="0.3">
      <c r="D162" s="90"/>
      <c r="F162" s="42"/>
    </row>
    <row r="163" spans="4:6" x14ac:dyDescent="0.3">
      <c r="D163" s="90"/>
      <c r="F163" s="42"/>
    </row>
    <row r="164" spans="4:6" x14ac:dyDescent="0.3">
      <c r="D164" s="90"/>
      <c r="F164" s="42"/>
    </row>
    <row r="165" spans="4:6" x14ac:dyDescent="0.3">
      <c r="D165" s="90"/>
      <c r="F165" s="42"/>
    </row>
    <row r="166" spans="4:6" x14ac:dyDescent="0.3">
      <c r="D166" s="90"/>
      <c r="F166" s="42"/>
    </row>
    <row r="167" spans="4:6" x14ac:dyDescent="0.3">
      <c r="D167" s="90"/>
      <c r="F167" s="42"/>
    </row>
    <row r="168" spans="4:6" x14ac:dyDescent="0.3">
      <c r="D168" s="90"/>
      <c r="F168" s="42"/>
    </row>
    <row r="169" spans="4:6" x14ac:dyDescent="0.3">
      <c r="D169" s="90"/>
      <c r="F169" s="42"/>
    </row>
    <row r="170" spans="4:6" x14ac:dyDescent="0.3">
      <c r="D170" s="90"/>
      <c r="F170" s="42"/>
    </row>
    <row r="171" spans="4:6" x14ac:dyDescent="0.3">
      <c r="D171" s="90"/>
      <c r="F171" s="42"/>
    </row>
    <row r="172" spans="4:6" x14ac:dyDescent="0.3">
      <c r="D172" s="90"/>
      <c r="F172" s="42"/>
    </row>
    <row r="173" spans="4:6" x14ac:dyDescent="0.3">
      <c r="D173" s="90"/>
      <c r="F173" s="42"/>
    </row>
    <row r="174" spans="4:6" x14ac:dyDescent="0.3">
      <c r="D174" s="90"/>
      <c r="F174" s="42"/>
    </row>
    <row r="175" spans="4:6" x14ac:dyDescent="0.3">
      <c r="D175" s="90"/>
      <c r="F175" s="42"/>
    </row>
    <row r="176" spans="4:6" x14ac:dyDescent="0.3">
      <c r="D176" s="90"/>
      <c r="F176" s="42"/>
    </row>
    <row r="177" spans="4:6" x14ac:dyDescent="0.3">
      <c r="D177" s="90"/>
      <c r="F177" s="42"/>
    </row>
    <row r="178" spans="4:6" x14ac:dyDescent="0.3">
      <c r="D178" s="90"/>
      <c r="F178" s="42"/>
    </row>
    <row r="179" spans="4:6" x14ac:dyDescent="0.3">
      <c r="D179" s="90"/>
      <c r="F179" s="42"/>
    </row>
    <row r="180" spans="4:6" x14ac:dyDescent="0.3">
      <c r="D180" s="90"/>
      <c r="F180" s="42"/>
    </row>
    <row r="181" spans="4:6" x14ac:dyDescent="0.3">
      <c r="D181" s="90"/>
      <c r="F181" s="42"/>
    </row>
    <row r="182" spans="4:6" x14ac:dyDescent="0.3">
      <c r="D182" s="90"/>
      <c r="F182" s="42"/>
    </row>
    <row r="183" spans="4:6" x14ac:dyDescent="0.3">
      <c r="D183" s="90"/>
      <c r="F183" s="42"/>
    </row>
    <row r="184" spans="4:6" x14ac:dyDescent="0.3">
      <c r="D184" s="90"/>
      <c r="F184" s="42"/>
    </row>
    <row r="185" spans="4:6" x14ac:dyDescent="0.3">
      <c r="D185" s="90"/>
      <c r="F185" s="42"/>
    </row>
    <row r="186" spans="4:6" x14ac:dyDescent="0.3">
      <c r="D186" s="90"/>
      <c r="F186" s="42"/>
    </row>
    <row r="187" spans="4:6" x14ac:dyDescent="0.3">
      <c r="D187" s="90"/>
      <c r="F187" s="42"/>
    </row>
    <row r="188" spans="4:6" x14ac:dyDescent="0.3">
      <c r="D188" s="90"/>
      <c r="F188" s="42"/>
    </row>
    <row r="189" spans="4:6" x14ac:dyDescent="0.3">
      <c r="D189" s="90"/>
      <c r="F189" s="42"/>
    </row>
    <row r="190" spans="4:6" x14ac:dyDescent="0.3">
      <c r="D190" s="90"/>
      <c r="F190" s="42"/>
    </row>
    <row r="191" spans="4:6" x14ac:dyDescent="0.3">
      <c r="D191" s="90"/>
      <c r="F191" s="42"/>
    </row>
    <row r="192" spans="4:6" x14ac:dyDescent="0.3">
      <c r="D192" s="90"/>
      <c r="F192" s="42"/>
    </row>
    <row r="193" spans="4:6" x14ac:dyDescent="0.3">
      <c r="D193" s="90"/>
      <c r="F193" s="42"/>
    </row>
    <row r="194" spans="4:6" x14ac:dyDescent="0.3">
      <c r="D194" s="90"/>
      <c r="F194" s="42"/>
    </row>
    <row r="195" spans="4:6" x14ac:dyDescent="0.3">
      <c r="D195" s="90"/>
      <c r="F195" s="42"/>
    </row>
    <row r="196" spans="4:6" x14ac:dyDescent="0.3">
      <c r="D196" s="90"/>
      <c r="F196" s="42"/>
    </row>
    <row r="197" spans="4:6" x14ac:dyDescent="0.3">
      <c r="D197" s="90"/>
      <c r="F197" s="42"/>
    </row>
    <row r="198" spans="4:6" x14ac:dyDescent="0.3">
      <c r="D198" s="90"/>
      <c r="F198" s="42"/>
    </row>
    <row r="199" spans="4:6" x14ac:dyDescent="0.3">
      <c r="D199" s="90"/>
      <c r="F199" s="42"/>
    </row>
    <row r="200" spans="4:6" x14ac:dyDescent="0.3">
      <c r="D200" s="90"/>
      <c r="F200" s="42"/>
    </row>
    <row r="201" spans="4:6" x14ac:dyDescent="0.3">
      <c r="D201" s="90"/>
      <c r="F201" s="42"/>
    </row>
    <row r="202" spans="4:6" x14ac:dyDescent="0.3">
      <c r="D202" s="90"/>
      <c r="F202" s="42"/>
    </row>
    <row r="203" spans="4:6" x14ac:dyDescent="0.3">
      <c r="D203" s="90"/>
      <c r="F203" s="42"/>
    </row>
    <row r="204" spans="4:6" x14ac:dyDescent="0.3">
      <c r="D204" s="90"/>
      <c r="F204" s="42"/>
    </row>
    <row r="205" spans="4:6" x14ac:dyDescent="0.3">
      <c r="D205" s="90"/>
      <c r="F205" s="42"/>
    </row>
    <row r="206" spans="4:6" x14ac:dyDescent="0.3">
      <c r="D206" s="90"/>
      <c r="F206" s="42"/>
    </row>
    <row r="207" spans="4:6" x14ac:dyDescent="0.3">
      <c r="D207" s="90"/>
      <c r="F207" s="42"/>
    </row>
    <row r="208" spans="4:6" x14ac:dyDescent="0.3">
      <c r="D208" s="90"/>
      <c r="F208" s="42"/>
    </row>
    <row r="209" spans="4:6" x14ac:dyDescent="0.3">
      <c r="D209" s="90"/>
      <c r="F209" s="42"/>
    </row>
    <row r="210" spans="4:6" x14ac:dyDescent="0.3">
      <c r="D210" s="90"/>
      <c r="F210" s="42"/>
    </row>
    <row r="211" spans="4:6" x14ac:dyDescent="0.3">
      <c r="D211" s="90"/>
      <c r="F211" s="42"/>
    </row>
    <row r="212" spans="4:6" x14ac:dyDescent="0.3">
      <c r="D212" s="90"/>
      <c r="F212" s="42"/>
    </row>
    <row r="213" spans="4:6" x14ac:dyDescent="0.3">
      <c r="D213" s="90"/>
      <c r="F213" s="42"/>
    </row>
    <row r="214" spans="4:6" x14ac:dyDescent="0.3">
      <c r="D214" s="90"/>
      <c r="F214" s="42"/>
    </row>
    <row r="215" spans="4:6" x14ac:dyDescent="0.3">
      <c r="D215" s="90"/>
      <c r="F215" s="42"/>
    </row>
    <row r="216" spans="4:6" x14ac:dyDescent="0.3">
      <c r="D216" s="90"/>
      <c r="F216" s="42"/>
    </row>
    <row r="217" spans="4:6" x14ac:dyDescent="0.3">
      <c r="D217" s="90"/>
      <c r="F217" s="42"/>
    </row>
    <row r="218" spans="4:6" x14ac:dyDescent="0.3">
      <c r="D218" s="90"/>
      <c r="F218" s="42"/>
    </row>
    <row r="219" spans="4:6" x14ac:dyDescent="0.3">
      <c r="D219" s="90"/>
      <c r="F219" s="42"/>
    </row>
    <row r="220" spans="4:6" x14ac:dyDescent="0.3">
      <c r="D220" s="90"/>
      <c r="F220" s="42"/>
    </row>
    <row r="221" spans="4:6" x14ac:dyDescent="0.3">
      <c r="D221" s="90"/>
      <c r="F221" s="42"/>
    </row>
    <row r="222" spans="4:6" x14ac:dyDescent="0.3">
      <c r="D222" s="90"/>
      <c r="F222" s="42"/>
    </row>
    <row r="223" spans="4:6" x14ac:dyDescent="0.3">
      <c r="D223" s="90"/>
      <c r="F223" s="42"/>
    </row>
    <row r="224" spans="4:6" x14ac:dyDescent="0.3">
      <c r="D224" s="90"/>
      <c r="F224" s="42"/>
    </row>
    <row r="225" spans="4:6" x14ac:dyDescent="0.3">
      <c r="D225" s="90"/>
      <c r="F225" s="42"/>
    </row>
    <row r="226" spans="4:6" x14ac:dyDescent="0.3">
      <c r="D226" s="90"/>
      <c r="F226" s="42"/>
    </row>
    <row r="227" spans="4:6" x14ac:dyDescent="0.3">
      <c r="D227" s="90"/>
      <c r="F227" s="42"/>
    </row>
    <row r="228" spans="4:6" x14ac:dyDescent="0.3">
      <c r="D228" s="90"/>
      <c r="F228" s="42"/>
    </row>
    <row r="229" spans="4:6" x14ac:dyDescent="0.3">
      <c r="D229" s="90"/>
      <c r="F229" s="42"/>
    </row>
    <row r="230" spans="4:6" x14ac:dyDescent="0.3">
      <c r="D230" s="90"/>
      <c r="F230" s="42"/>
    </row>
    <row r="231" spans="4:6" x14ac:dyDescent="0.3">
      <c r="D231" s="90"/>
      <c r="F231" s="42"/>
    </row>
    <row r="232" spans="4:6" x14ac:dyDescent="0.3">
      <c r="D232" s="90"/>
      <c r="F232" s="42"/>
    </row>
    <row r="233" spans="4:6" x14ac:dyDescent="0.3">
      <c r="D233" s="90"/>
      <c r="F233" s="42"/>
    </row>
    <row r="234" spans="4:6" x14ac:dyDescent="0.3">
      <c r="D234" s="90"/>
      <c r="F234" s="42"/>
    </row>
    <row r="235" spans="4:6" x14ac:dyDescent="0.3">
      <c r="D235" s="90"/>
      <c r="F235" s="42"/>
    </row>
    <row r="236" spans="4:6" x14ac:dyDescent="0.3">
      <c r="D236" s="90"/>
      <c r="F236" s="42"/>
    </row>
    <row r="237" spans="4:6" x14ac:dyDescent="0.3">
      <c r="D237" s="90"/>
      <c r="F237" s="42"/>
    </row>
    <row r="238" spans="4:6" x14ac:dyDescent="0.3">
      <c r="D238" s="90"/>
      <c r="F238" s="42"/>
    </row>
    <row r="239" spans="4:6" x14ac:dyDescent="0.3">
      <c r="D239" s="90"/>
      <c r="F239" s="42"/>
    </row>
    <row r="240" spans="4:6" x14ac:dyDescent="0.3">
      <c r="D240" s="90"/>
      <c r="F240" s="42"/>
    </row>
    <row r="241" spans="4:6" x14ac:dyDescent="0.3">
      <c r="D241" s="90"/>
      <c r="F241" s="42"/>
    </row>
    <row r="242" spans="4:6" x14ac:dyDescent="0.3">
      <c r="D242" s="90"/>
      <c r="F242" s="42"/>
    </row>
    <row r="243" spans="4:6" x14ac:dyDescent="0.3">
      <c r="D243" s="90"/>
      <c r="F243" s="42"/>
    </row>
    <row r="244" spans="4:6" x14ac:dyDescent="0.3">
      <c r="D244" s="90"/>
      <c r="F244" s="42"/>
    </row>
    <row r="245" spans="4:6" x14ac:dyDescent="0.3">
      <c r="D245" s="90"/>
      <c r="F245" s="42"/>
    </row>
    <row r="246" spans="4:6" x14ac:dyDescent="0.3">
      <c r="D246" s="90"/>
      <c r="F246" s="42"/>
    </row>
    <row r="247" spans="4:6" x14ac:dyDescent="0.3">
      <c r="D247" s="90"/>
      <c r="F247" s="42"/>
    </row>
    <row r="248" spans="4:6" x14ac:dyDescent="0.3">
      <c r="D248" s="90"/>
      <c r="F248" s="42"/>
    </row>
    <row r="249" spans="4:6" x14ac:dyDescent="0.3">
      <c r="D249" s="90"/>
      <c r="F249" s="42"/>
    </row>
    <row r="250" spans="4:6" x14ac:dyDescent="0.3">
      <c r="D250" s="90"/>
      <c r="F250" s="42"/>
    </row>
    <row r="251" spans="4:6" x14ac:dyDescent="0.3">
      <c r="D251" s="90"/>
      <c r="F251" s="42"/>
    </row>
    <row r="252" spans="4:6" x14ac:dyDescent="0.3">
      <c r="D252" s="90"/>
      <c r="F252" s="42"/>
    </row>
    <row r="253" spans="4:6" x14ac:dyDescent="0.3">
      <c r="D253" s="90"/>
      <c r="F253" s="42"/>
    </row>
    <row r="254" spans="4:6" x14ac:dyDescent="0.3">
      <c r="D254" s="90"/>
      <c r="F254" s="42"/>
    </row>
    <row r="255" spans="4:6" x14ac:dyDescent="0.3">
      <c r="D255" s="90"/>
      <c r="F255" s="42"/>
    </row>
    <row r="256" spans="4:6" x14ac:dyDescent="0.3">
      <c r="D256" s="90"/>
      <c r="F256" s="42"/>
    </row>
    <row r="257" spans="4:6" x14ac:dyDescent="0.3">
      <c r="D257" s="90"/>
      <c r="F257" s="42"/>
    </row>
    <row r="258" spans="4:6" x14ac:dyDescent="0.3">
      <c r="D258" s="90"/>
      <c r="F258" s="42"/>
    </row>
    <row r="259" spans="4:6" x14ac:dyDescent="0.3">
      <c r="D259" s="90"/>
      <c r="F259" s="42"/>
    </row>
    <row r="260" spans="4:6" x14ac:dyDescent="0.3">
      <c r="D260" s="90"/>
      <c r="F260" s="42"/>
    </row>
    <row r="261" spans="4:6" x14ac:dyDescent="0.3">
      <c r="D261" s="90"/>
      <c r="F261" s="42"/>
    </row>
    <row r="262" spans="4:6" x14ac:dyDescent="0.3">
      <c r="D262" s="90"/>
      <c r="F262" s="42"/>
    </row>
    <row r="263" spans="4:6" x14ac:dyDescent="0.3">
      <c r="D263" s="90"/>
      <c r="F263" s="42"/>
    </row>
    <row r="264" spans="4:6" x14ac:dyDescent="0.3">
      <c r="D264" s="90"/>
      <c r="F264" s="42"/>
    </row>
    <row r="265" spans="4:6" x14ac:dyDescent="0.3">
      <c r="D265" s="90"/>
      <c r="F265" s="42"/>
    </row>
    <row r="266" spans="4:6" x14ac:dyDescent="0.3">
      <c r="D266" s="90"/>
      <c r="F266" s="42"/>
    </row>
    <row r="267" spans="4:6" x14ac:dyDescent="0.3">
      <c r="D267" s="90"/>
      <c r="F267" s="42"/>
    </row>
    <row r="268" spans="4:6" x14ac:dyDescent="0.3">
      <c r="D268" s="90"/>
      <c r="F268" s="42"/>
    </row>
    <row r="269" spans="4:6" x14ac:dyDescent="0.3">
      <c r="D269" s="90"/>
      <c r="F269" s="42"/>
    </row>
    <row r="270" spans="4:6" x14ac:dyDescent="0.3">
      <c r="D270" s="90"/>
      <c r="F270" s="42"/>
    </row>
    <row r="271" spans="4:6" x14ac:dyDescent="0.3">
      <c r="D271" s="90"/>
      <c r="F271" s="42"/>
    </row>
    <row r="272" spans="4:6" x14ac:dyDescent="0.3">
      <c r="D272" s="90"/>
      <c r="F272" s="42"/>
    </row>
    <row r="273" spans="4:6" x14ac:dyDescent="0.3">
      <c r="D273" s="90"/>
      <c r="F273" s="42"/>
    </row>
    <row r="274" spans="4:6" x14ac:dyDescent="0.3">
      <c r="D274" s="90"/>
      <c r="F274" s="42"/>
    </row>
    <row r="275" spans="4:6" x14ac:dyDescent="0.3">
      <c r="D275" s="90"/>
      <c r="F275" s="42"/>
    </row>
    <row r="276" spans="4:6" x14ac:dyDescent="0.3">
      <c r="D276" s="90"/>
      <c r="F276" s="42"/>
    </row>
    <row r="277" spans="4:6" x14ac:dyDescent="0.3">
      <c r="D277" s="90"/>
      <c r="F277" s="42"/>
    </row>
    <row r="278" spans="4:6" x14ac:dyDescent="0.3">
      <c r="D278" s="90"/>
      <c r="F278" s="42"/>
    </row>
    <row r="279" spans="4:6" x14ac:dyDescent="0.3">
      <c r="D279" s="90"/>
      <c r="F279" s="42"/>
    </row>
    <row r="280" spans="4:6" x14ac:dyDescent="0.3">
      <c r="D280" s="90"/>
      <c r="F280" s="42"/>
    </row>
    <row r="281" spans="4:6" x14ac:dyDescent="0.3">
      <c r="D281" s="90"/>
      <c r="F281" s="42"/>
    </row>
    <row r="282" spans="4:6" x14ac:dyDescent="0.3">
      <c r="D282" s="90"/>
      <c r="F282" s="42"/>
    </row>
    <row r="283" spans="4:6" x14ac:dyDescent="0.3">
      <c r="D283" s="90"/>
      <c r="F283" s="42"/>
    </row>
    <row r="284" spans="4:6" x14ac:dyDescent="0.3">
      <c r="D284" s="90"/>
      <c r="F284" s="42"/>
    </row>
    <row r="285" spans="4:6" x14ac:dyDescent="0.3">
      <c r="D285" s="90"/>
      <c r="F285" s="42"/>
    </row>
    <row r="286" spans="4:6" x14ac:dyDescent="0.3">
      <c r="D286" s="90"/>
      <c r="F286" s="42"/>
    </row>
    <row r="287" spans="4:6" x14ac:dyDescent="0.3">
      <c r="D287" s="90"/>
      <c r="F287" s="42"/>
    </row>
    <row r="288" spans="4:6" x14ac:dyDescent="0.3">
      <c r="D288" s="90"/>
      <c r="F288" s="42"/>
    </row>
    <row r="289" spans="4:6" x14ac:dyDescent="0.3">
      <c r="D289" s="90"/>
      <c r="F289" s="42"/>
    </row>
    <row r="290" spans="4:6" x14ac:dyDescent="0.3">
      <c r="D290" s="90"/>
      <c r="F290" s="42"/>
    </row>
    <row r="291" spans="4:6" x14ac:dyDescent="0.3">
      <c r="D291" s="90"/>
      <c r="F291" s="42"/>
    </row>
    <row r="292" spans="4:6" x14ac:dyDescent="0.3">
      <c r="D292" s="90"/>
      <c r="F292" s="42"/>
    </row>
    <row r="293" spans="4:6" x14ac:dyDescent="0.3">
      <c r="D293" s="90"/>
      <c r="F293" s="42"/>
    </row>
    <row r="294" spans="4:6" x14ac:dyDescent="0.3">
      <c r="D294" s="90"/>
      <c r="F294" s="42"/>
    </row>
    <row r="295" spans="4:6" x14ac:dyDescent="0.3">
      <c r="D295" s="90"/>
      <c r="F295" s="42"/>
    </row>
    <row r="296" spans="4:6" x14ac:dyDescent="0.3">
      <c r="D296" s="90"/>
      <c r="F296" s="42"/>
    </row>
    <row r="297" spans="4:6" x14ac:dyDescent="0.3">
      <c r="D297" s="90"/>
      <c r="F297" s="42"/>
    </row>
    <row r="298" spans="4:6" x14ac:dyDescent="0.3">
      <c r="D298" s="90"/>
      <c r="F298" s="42"/>
    </row>
    <row r="299" spans="4:6" x14ac:dyDescent="0.3">
      <c r="D299" s="90"/>
      <c r="F299" s="42"/>
    </row>
    <row r="300" spans="4:6" x14ac:dyDescent="0.3">
      <c r="D300" s="90"/>
      <c r="F300" s="42"/>
    </row>
    <row r="301" spans="4:6" x14ac:dyDescent="0.3">
      <c r="D301" s="90"/>
      <c r="F301" s="42"/>
    </row>
    <row r="302" spans="4:6" x14ac:dyDescent="0.3">
      <c r="D302" s="90"/>
      <c r="F302" s="42"/>
    </row>
    <row r="303" spans="4:6" x14ac:dyDescent="0.3">
      <c r="D303" s="90"/>
      <c r="F303" s="42"/>
    </row>
    <row r="304" spans="4:6" x14ac:dyDescent="0.3">
      <c r="D304" s="90"/>
      <c r="F304" s="42"/>
    </row>
    <row r="305" spans="4:6" x14ac:dyDescent="0.3">
      <c r="D305" s="90"/>
      <c r="F305" s="42"/>
    </row>
    <row r="306" spans="4:6" x14ac:dyDescent="0.3">
      <c r="D306" s="90"/>
      <c r="F306" s="42"/>
    </row>
    <row r="307" spans="4:6" x14ac:dyDescent="0.3">
      <c r="D307" s="90"/>
      <c r="F307" s="42"/>
    </row>
    <row r="308" spans="4:6" x14ac:dyDescent="0.3">
      <c r="D308" s="90"/>
      <c r="F308" s="42"/>
    </row>
    <row r="309" spans="4:6" x14ac:dyDescent="0.3">
      <c r="D309" s="90"/>
      <c r="F309" s="42"/>
    </row>
    <row r="310" spans="4:6" x14ac:dyDescent="0.3">
      <c r="D310" s="90"/>
      <c r="F310" s="42"/>
    </row>
    <row r="311" spans="4:6" x14ac:dyDescent="0.3">
      <c r="D311" s="90"/>
      <c r="F311" s="42"/>
    </row>
    <row r="312" spans="4:6" x14ac:dyDescent="0.3">
      <c r="D312" s="90"/>
      <c r="F312" s="42"/>
    </row>
    <row r="313" spans="4:6" x14ac:dyDescent="0.3">
      <c r="D313" s="90"/>
      <c r="F313" s="42"/>
    </row>
    <row r="314" spans="4:6" x14ac:dyDescent="0.3">
      <c r="D314" s="90"/>
      <c r="F314" s="42"/>
    </row>
    <row r="315" spans="4:6" x14ac:dyDescent="0.3">
      <c r="D315" s="90"/>
      <c r="F315" s="42"/>
    </row>
    <row r="316" spans="4:6" x14ac:dyDescent="0.3">
      <c r="D316" s="90"/>
      <c r="F316" s="42"/>
    </row>
    <row r="317" spans="4:6" x14ac:dyDescent="0.3">
      <c r="D317" s="90"/>
      <c r="F317" s="42"/>
    </row>
    <row r="318" spans="4:6" x14ac:dyDescent="0.3">
      <c r="D318" s="90"/>
      <c r="F318" s="42"/>
    </row>
    <row r="319" spans="4:6" x14ac:dyDescent="0.3">
      <c r="D319" s="90"/>
      <c r="F319" s="42"/>
    </row>
    <row r="320" spans="4:6" x14ac:dyDescent="0.3">
      <c r="D320" s="90"/>
      <c r="F320" s="42"/>
    </row>
    <row r="321" spans="4:6" x14ac:dyDescent="0.3">
      <c r="D321" s="90"/>
      <c r="F321" s="42"/>
    </row>
    <row r="322" spans="4:6" x14ac:dyDescent="0.3">
      <c r="D322" s="90"/>
      <c r="F322" s="42"/>
    </row>
    <row r="323" spans="4:6" x14ac:dyDescent="0.3">
      <c r="D323" s="90"/>
      <c r="F323" s="42"/>
    </row>
    <row r="324" spans="4:6" x14ac:dyDescent="0.3">
      <c r="D324" s="90"/>
      <c r="F324" s="42"/>
    </row>
    <row r="325" spans="4:6" x14ac:dyDescent="0.3">
      <c r="D325" s="90"/>
      <c r="F325" s="42"/>
    </row>
    <row r="326" spans="4:6" x14ac:dyDescent="0.3">
      <c r="D326" s="90"/>
      <c r="F326" s="42"/>
    </row>
    <row r="327" spans="4:6" x14ac:dyDescent="0.3">
      <c r="D327" s="90"/>
      <c r="F327" s="42"/>
    </row>
    <row r="328" spans="4:6" x14ac:dyDescent="0.3">
      <c r="D328" s="90"/>
      <c r="F328" s="42"/>
    </row>
    <row r="329" spans="4:6" x14ac:dyDescent="0.3">
      <c r="D329" s="90"/>
      <c r="F329" s="42"/>
    </row>
    <row r="330" spans="4:6" x14ac:dyDescent="0.3">
      <c r="D330" s="90"/>
      <c r="F330" s="42"/>
    </row>
    <row r="331" spans="4:6" x14ac:dyDescent="0.3">
      <c r="D331" s="90"/>
      <c r="F331" s="42"/>
    </row>
    <row r="332" spans="4:6" x14ac:dyDescent="0.3">
      <c r="D332" s="90"/>
      <c r="F332" s="42"/>
    </row>
    <row r="333" spans="4:6" x14ac:dyDescent="0.3">
      <c r="D333" s="90"/>
      <c r="F333" s="42"/>
    </row>
    <row r="334" spans="4:6" x14ac:dyDescent="0.3">
      <c r="D334" s="90"/>
      <c r="F334" s="42"/>
    </row>
    <row r="335" spans="4:6" x14ac:dyDescent="0.3">
      <c r="D335" s="90"/>
      <c r="F335" s="42"/>
    </row>
    <row r="336" spans="4:6" x14ac:dyDescent="0.3">
      <c r="D336" s="90"/>
      <c r="F336" s="42"/>
    </row>
    <row r="337" spans="4:6" x14ac:dyDescent="0.3">
      <c r="D337" s="90"/>
      <c r="F337" s="42"/>
    </row>
    <row r="338" spans="4:6" x14ac:dyDescent="0.3">
      <c r="D338" s="90"/>
      <c r="F338" s="42"/>
    </row>
    <row r="339" spans="4:6" x14ac:dyDescent="0.3">
      <c r="D339" s="90"/>
      <c r="F339" s="42"/>
    </row>
    <row r="340" spans="4:6" x14ac:dyDescent="0.3">
      <c r="D340" s="90"/>
      <c r="F340" s="42"/>
    </row>
    <row r="341" spans="4:6" x14ac:dyDescent="0.3">
      <c r="D341" s="90"/>
      <c r="F341" s="42"/>
    </row>
    <row r="342" spans="4:6" x14ac:dyDescent="0.3">
      <c r="D342" s="90"/>
      <c r="F342" s="42"/>
    </row>
    <row r="343" spans="4:6" x14ac:dyDescent="0.3">
      <c r="D343" s="90"/>
      <c r="F343" s="42"/>
    </row>
    <row r="344" spans="4:6" x14ac:dyDescent="0.3">
      <c r="D344" s="90"/>
      <c r="F344" s="42"/>
    </row>
    <row r="345" spans="4:6" x14ac:dyDescent="0.3">
      <c r="D345" s="90"/>
      <c r="F345" s="42"/>
    </row>
    <row r="346" spans="4:6" x14ac:dyDescent="0.3">
      <c r="D346" s="90"/>
      <c r="F346" s="42"/>
    </row>
    <row r="347" spans="4:6" x14ac:dyDescent="0.3">
      <c r="D347" s="90"/>
      <c r="F347" s="42"/>
    </row>
    <row r="348" spans="4:6" x14ac:dyDescent="0.3">
      <c r="D348" s="90"/>
      <c r="F348" s="42"/>
    </row>
    <row r="349" spans="4:6" x14ac:dyDescent="0.3">
      <c r="D349" s="90"/>
      <c r="F349" s="42"/>
    </row>
    <row r="350" spans="4:6" x14ac:dyDescent="0.3">
      <c r="D350" s="90"/>
      <c r="F350" s="42"/>
    </row>
    <row r="351" spans="4:6" x14ac:dyDescent="0.3">
      <c r="D351" s="90"/>
      <c r="F351" s="42"/>
    </row>
    <row r="352" spans="4:6" x14ac:dyDescent="0.3">
      <c r="D352" s="90"/>
      <c r="F352" s="42"/>
    </row>
    <row r="353" spans="4:6" x14ac:dyDescent="0.3">
      <c r="D353" s="90"/>
      <c r="F353" s="42"/>
    </row>
    <row r="354" spans="4:6" x14ac:dyDescent="0.3">
      <c r="D354" s="90"/>
      <c r="F354" s="42"/>
    </row>
    <row r="355" spans="4:6" x14ac:dyDescent="0.3">
      <c r="D355" s="90"/>
      <c r="F355" s="42"/>
    </row>
    <row r="356" spans="4:6" x14ac:dyDescent="0.3">
      <c r="D356" s="90"/>
      <c r="F356" s="42"/>
    </row>
    <row r="357" spans="4:6" x14ac:dyDescent="0.3">
      <c r="D357" s="90"/>
      <c r="F357" s="42"/>
    </row>
    <row r="358" spans="4:6" x14ac:dyDescent="0.3">
      <c r="D358" s="90"/>
      <c r="F358" s="42"/>
    </row>
    <row r="359" spans="4:6" x14ac:dyDescent="0.3">
      <c r="D359" s="90"/>
      <c r="F359" s="42"/>
    </row>
    <row r="360" spans="4:6" x14ac:dyDescent="0.3">
      <c r="D360" s="90"/>
      <c r="F360" s="42"/>
    </row>
    <row r="361" spans="4:6" x14ac:dyDescent="0.3">
      <c r="D361" s="90"/>
      <c r="F361" s="42"/>
    </row>
    <row r="362" spans="4:6" x14ac:dyDescent="0.3">
      <c r="D362" s="90"/>
      <c r="F362" s="42"/>
    </row>
    <row r="363" spans="4:6" x14ac:dyDescent="0.3">
      <c r="D363" s="90"/>
      <c r="F363" s="42"/>
    </row>
    <row r="364" spans="4:6" x14ac:dyDescent="0.3">
      <c r="D364" s="90"/>
      <c r="F364" s="42"/>
    </row>
    <row r="365" spans="4:6" x14ac:dyDescent="0.3">
      <c r="D365" s="90"/>
      <c r="F365" s="42"/>
    </row>
    <row r="366" spans="4:6" x14ac:dyDescent="0.3">
      <c r="D366" s="90"/>
      <c r="F366" s="42"/>
    </row>
    <row r="367" spans="4:6" x14ac:dyDescent="0.3">
      <c r="D367" s="90"/>
      <c r="F367" s="42"/>
    </row>
    <row r="368" spans="4:6" x14ac:dyDescent="0.3">
      <c r="D368" s="90"/>
      <c r="F368" s="42"/>
    </row>
    <row r="369" spans="4:6" x14ac:dyDescent="0.3">
      <c r="D369" s="90"/>
      <c r="F369" s="42"/>
    </row>
    <row r="370" spans="4:6" x14ac:dyDescent="0.3">
      <c r="D370" s="90"/>
      <c r="F370" s="42"/>
    </row>
    <row r="371" spans="4:6" x14ac:dyDescent="0.3">
      <c r="D371" s="90"/>
      <c r="F371" s="42"/>
    </row>
    <row r="372" spans="4:6" x14ac:dyDescent="0.3">
      <c r="D372" s="90"/>
      <c r="F372" s="42"/>
    </row>
    <row r="373" spans="4:6" x14ac:dyDescent="0.3">
      <c r="D373" s="90"/>
      <c r="F373" s="42"/>
    </row>
    <row r="374" spans="4:6" x14ac:dyDescent="0.3">
      <c r="D374" s="90"/>
      <c r="F374" s="42"/>
    </row>
    <row r="375" spans="4:6" x14ac:dyDescent="0.3">
      <c r="D375" s="90"/>
      <c r="F375" s="42"/>
    </row>
    <row r="376" spans="4:6" x14ac:dyDescent="0.3">
      <c r="D376" s="90"/>
      <c r="F376" s="42"/>
    </row>
    <row r="377" spans="4:6" x14ac:dyDescent="0.3">
      <c r="D377" s="90"/>
      <c r="F377" s="42"/>
    </row>
    <row r="378" spans="4:6" x14ac:dyDescent="0.3">
      <c r="D378" s="90"/>
      <c r="F378" s="42"/>
    </row>
    <row r="379" spans="4:6" x14ac:dyDescent="0.3">
      <c r="D379" s="90"/>
      <c r="F379" s="42"/>
    </row>
    <row r="380" spans="4:6" x14ac:dyDescent="0.3">
      <c r="D380" s="90"/>
      <c r="F380" s="42"/>
    </row>
    <row r="381" spans="4:6" x14ac:dyDescent="0.3">
      <c r="D381" s="90"/>
      <c r="F381" s="42"/>
    </row>
    <row r="382" spans="4:6" x14ac:dyDescent="0.3">
      <c r="D382" s="90"/>
      <c r="F382" s="42"/>
    </row>
    <row r="383" spans="4:6" x14ac:dyDescent="0.3">
      <c r="D383" s="90"/>
      <c r="F383" s="42"/>
    </row>
    <row r="384" spans="4:6" x14ac:dyDescent="0.3">
      <c r="D384" s="90"/>
      <c r="F384" s="42"/>
    </row>
    <row r="385" spans="4:6" x14ac:dyDescent="0.3">
      <c r="D385" s="90"/>
      <c r="F385" s="42"/>
    </row>
    <row r="386" spans="4:6" x14ac:dyDescent="0.3">
      <c r="D386" s="90"/>
      <c r="F386" s="42"/>
    </row>
    <row r="387" spans="4:6" x14ac:dyDescent="0.3">
      <c r="D387" s="90"/>
      <c r="F387" s="42"/>
    </row>
    <row r="388" spans="4:6" x14ac:dyDescent="0.3">
      <c r="D388" s="90"/>
      <c r="F388" s="42"/>
    </row>
    <row r="389" spans="4:6" x14ac:dyDescent="0.3">
      <c r="D389" s="90"/>
      <c r="F389" s="42"/>
    </row>
    <row r="390" spans="4:6" x14ac:dyDescent="0.3">
      <c r="D390" s="90"/>
      <c r="F390" s="42"/>
    </row>
    <row r="391" spans="4:6" x14ac:dyDescent="0.3">
      <c r="D391" s="90"/>
      <c r="F391" s="42"/>
    </row>
    <row r="392" spans="4:6" x14ac:dyDescent="0.3">
      <c r="D392" s="90"/>
      <c r="F392" s="42"/>
    </row>
    <row r="393" spans="4:6" x14ac:dyDescent="0.3">
      <c r="D393" s="90"/>
      <c r="F393" s="42"/>
    </row>
    <row r="394" spans="4:6" x14ac:dyDescent="0.3">
      <c r="D394" s="90"/>
      <c r="F394" s="42"/>
    </row>
    <row r="395" spans="4:6" x14ac:dyDescent="0.3">
      <c r="D395" s="90"/>
      <c r="F395" s="42"/>
    </row>
    <row r="396" spans="4:6" x14ac:dyDescent="0.3">
      <c r="D396" s="90"/>
      <c r="F396" s="42"/>
    </row>
    <row r="397" spans="4:6" x14ac:dyDescent="0.3">
      <c r="D397" s="90"/>
      <c r="F397" s="42"/>
    </row>
    <row r="398" spans="4:6" x14ac:dyDescent="0.3">
      <c r="D398" s="90"/>
      <c r="F398" s="42"/>
    </row>
    <row r="399" spans="4:6" x14ac:dyDescent="0.3">
      <c r="D399" s="90"/>
      <c r="F399" s="42"/>
    </row>
    <row r="400" spans="4:6" x14ac:dyDescent="0.3">
      <c r="D400" s="90"/>
      <c r="F400" s="42"/>
    </row>
    <row r="401" spans="4:6" x14ac:dyDescent="0.3">
      <c r="D401" s="90"/>
      <c r="F401" s="42"/>
    </row>
    <row r="402" spans="4:6" x14ac:dyDescent="0.3">
      <c r="D402" s="90"/>
      <c r="F402" s="42"/>
    </row>
    <row r="403" spans="4:6" x14ac:dyDescent="0.3">
      <c r="D403" s="90"/>
      <c r="F403" s="42"/>
    </row>
    <row r="404" spans="4:6" x14ac:dyDescent="0.3">
      <c r="D404" s="90"/>
      <c r="F404" s="42"/>
    </row>
    <row r="405" spans="4:6" x14ac:dyDescent="0.3">
      <c r="D405" s="90"/>
      <c r="F405" s="42"/>
    </row>
    <row r="406" spans="4:6" x14ac:dyDescent="0.3">
      <c r="D406" s="90"/>
      <c r="F406" s="42"/>
    </row>
    <row r="407" spans="4:6" x14ac:dyDescent="0.3">
      <c r="D407" s="90"/>
      <c r="F407" s="42"/>
    </row>
    <row r="408" spans="4:6" x14ac:dyDescent="0.3">
      <c r="D408" s="90"/>
      <c r="F408" s="42"/>
    </row>
    <row r="409" spans="4:6" x14ac:dyDescent="0.3">
      <c r="D409" s="90"/>
      <c r="F409" s="42"/>
    </row>
    <row r="410" spans="4:6" x14ac:dyDescent="0.3">
      <c r="D410" s="90"/>
      <c r="F410" s="42"/>
    </row>
    <row r="411" spans="4:6" x14ac:dyDescent="0.3">
      <c r="D411" s="90"/>
      <c r="F411" s="42"/>
    </row>
    <row r="412" spans="4:6" x14ac:dyDescent="0.3">
      <c r="D412" s="90"/>
      <c r="F412" s="42"/>
    </row>
    <row r="413" spans="4:6" x14ac:dyDescent="0.3">
      <c r="D413" s="90"/>
      <c r="F413" s="42"/>
    </row>
    <row r="414" spans="4:6" x14ac:dyDescent="0.3">
      <c r="D414" s="90"/>
      <c r="F414" s="42"/>
    </row>
    <row r="415" spans="4:6" x14ac:dyDescent="0.3">
      <c r="D415" s="90"/>
      <c r="F415" s="42"/>
    </row>
    <row r="416" spans="4:6" x14ac:dyDescent="0.3">
      <c r="D416" s="90"/>
      <c r="F416" s="42"/>
    </row>
    <row r="417" spans="4:6" x14ac:dyDescent="0.3">
      <c r="D417" s="90"/>
      <c r="F417" s="42"/>
    </row>
    <row r="418" spans="4:6" x14ac:dyDescent="0.3">
      <c r="D418" s="90"/>
      <c r="F418" s="42"/>
    </row>
    <row r="419" spans="4:6" x14ac:dyDescent="0.3">
      <c r="D419" s="90"/>
      <c r="F419" s="42"/>
    </row>
    <row r="420" spans="4:6" x14ac:dyDescent="0.3">
      <c r="D420" s="90"/>
      <c r="F420" s="42"/>
    </row>
    <row r="421" spans="4:6" x14ac:dyDescent="0.3">
      <c r="D421" s="90"/>
      <c r="F421" s="42"/>
    </row>
    <row r="422" spans="4:6" x14ac:dyDescent="0.3">
      <c r="D422" s="90"/>
      <c r="F422" s="42"/>
    </row>
    <row r="423" spans="4:6" x14ac:dyDescent="0.3">
      <c r="D423" s="90"/>
      <c r="F423" s="42"/>
    </row>
    <row r="424" spans="4:6" x14ac:dyDescent="0.3">
      <c r="D424" s="90"/>
      <c r="F424" s="42"/>
    </row>
    <row r="425" spans="4:6" x14ac:dyDescent="0.3">
      <c r="D425" s="90"/>
      <c r="F425" s="42"/>
    </row>
    <row r="426" spans="4:6" x14ac:dyDescent="0.3">
      <c r="D426" s="90"/>
      <c r="F426" s="42"/>
    </row>
    <row r="427" spans="4:6" x14ac:dyDescent="0.3">
      <c r="D427" s="90"/>
      <c r="F427" s="42"/>
    </row>
    <row r="428" spans="4:6" x14ac:dyDescent="0.3">
      <c r="D428" s="90"/>
      <c r="F428" s="42"/>
    </row>
    <row r="429" spans="4:6" x14ac:dyDescent="0.3">
      <c r="D429" s="90"/>
      <c r="F429" s="42"/>
    </row>
    <row r="430" spans="4:6" x14ac:dyDescent="0.3">
      <c r="D430" s="90"/>
      <c r="F430" s="42"/>
    </row>
    <row r="431" spans="4:6" x14ac:dyDescent="0.3">
      <c r="D431" s="90"/>
      <c r="F431" s="42"/>
    </row>
    <row r="432" spans="4:6" x14ac:dyDescent="0.3">
      <c r="D432" s="90"/>
      <c r="F432" s="42"/>
    </row>
    <row r="433" spans="4:6" x14ac:dyDescent="0.3">
      <c r="D433" s="90"/>
      <c r="F433" s="42"/>
    </row>
    <row r="434" spans="4:6" x14ac:dyDescent="0.3">
      <c r="D434" s="90"/>
      <c r="F434" s="42"/>
    </row>
    <row r="435" spans="4:6" x14ac:dyDescent="0.3">
      <c r="D435" s="90"/>
      <c r="F435" s="42"/>
    </row>
    <row r="436" spans="4:6" x14ac:dyDescent="0.3">
      <c r="D436" s="90"/>
      <c r="F436" s="42"/>
    </row>
    <row r="437" spans="4:6" x14ac:dyDescent="0.3">
      <c r="D437" s="90"/>
      <c r="F437" s="42"/>
    </row>
    <row r="438" spans="4:6" x14ac:dyDescent="0.3">
      <c r="D438" s="90"/>
      <c r="F438" s="42"/>
    </row>
    <row r="439" spans="4:6" x14ac:dyDescent="0.3">
      <c r="D439" s="90"/>
      <c r="F439" s="42"/>
    </row>
    <row r="440" spans="4:6" x14ac:dyDescent="0.3">
      <c r="D440" s="90"/>
      <c r="F440" s="42"/>
    </row>
    <row r="441" spans="4:6" x14ac:dyDescent="0.3">
      <c r="D441" s="90"/>
      <c r="F441" s="42"/>
    </row>
    <row r="442" spans="4:6" x14ac:dyDescent="0.3">
      <c r="D442" s="90"/>
      <c r="F442" s="42"/>
    </row>
    <row r="443" spans="4:6" x14ac:dyDescent="0.3">
      <c r="D443" s="90"/>
      <c r="F443" s="42"/>
    </row>
    <row r="444" spans="4:6" x14ac:dyDescent="0.3">
      <c r="D444" s="90"/>
      <c r="F444" s="42"/>
    </row>
    <row r="445" spans="4:6" x14ac:dyDescent="0.3">
      <c r="D445" s="90"/>
      <c r="F445" s="42"/>
    </row>
    <row r="446" spans="4:6" x14ac:dyDescent="0.3">
      <c r="D446" s="90"/>
      <c r="F446" s="42"/>
    </row>
    <row r="447" spans="4:6" x14ac:dyDescent="0.3">
      <c r="D447" s="90"/>
      <c r="F447" s="42"/>
    </row>
    <row r="448" spans="4:6" x14ac:dyDescent="0.3">
      <c r="D448" s="90"/>
      <c r="F448" s="42"/>
    </row>
    <row r="449" spans="4:6" x14ac:dyDescent="0.3">
      <c r="D449" s="90"/>
      <c r="F449" s="42"/>
    </row>
    <row r="450" spans="4:6" x14ac:dyDescent="0.3">
      <c r="D450" s="90"/>
      <c r="F450" s="42"/>
    </row>
    <row r="451" spans="4:6" x14ac:dyDescent="0.3">
      <c r="D451" s="90"/>
      <c r="F451" s="42"/>
    </row>
    <row r="452" spans="4:6" x14ac:dyDescent="0.3">
      <c r="D452" s="90"/>
      <c r="F452" s="42"/>
    </row>
    <row r="453" spans="4:6" x14ac:dyDescent="0.3">
      <c r="D453" s="90"/>
      <c r="F453" s="42"/>
    </row>
    <row r="454" spans="4:6" x14ac:dyDescent="0.3">
      <c r="D454" s="90"/>
      <c r="F454" s="42"/>
    </row>
    <row r="455" spans="4:6" x14ac:dyDescent="0.3">
      <c r="D455" s="90"/>
      <c r="F455" s="42"/>
    </row>
    <row r="456" spans="4:6" x14ac:dyDescent="0.3">
      <c r="D456" s="90"/>
      <c r="F456" s="42"/>
    </row>
    <row r="457" spans="4:6" x14ac:dyDescent="0.3">
      <c r="D457" s="90"/>
      <c r="F457" s="42"/>
    </row>
    <row r="458" spans="4:6" x14ac:dyDescent="0.3">
      <c r="D458" s="90"/>
      <c r="F458" s="42"/>
    </row>
    <row r="459" spans="4:6" x14ac:dyDescent="0.3">
      <c r="D459" s="90"/>
      <c r="F459" s="42"/>
    </row>
    <row r="460" spans="4:6" x14ac:dyDescent="0.3">
      <c r="D460" s="90"/>
      <c r="F460" s="42"/>
    </row>
    <row r="461" spans="4:6" x14ac:dyDescent="0.3">
      <c r="D461" s="90"/>
      <c r="F461" s="42"/>
    </row>
    <row r="462" spans="4:6" x14ac:dyDescent="0.3">
      <c r="D462" s="90"/>
      <c r="F462" s="42"/>
    </row>
    <row r="463" spans="4:6" x14ac:dyDescent="0.3">
      <c r="D463" s="90"/>
      <c r="F463" s="42"/>
    </row>
    <row r="464" spans="4:6" x14ac:dyDescent="0.3">
      <c r="D464" s="90"/>
      <c r="F464" s="42"/>
    </row>
    <row r="465" spans="4:6" x14ac:dyDescent="0.3">
      <c r="D465" s="90"/>
      <c r="F465" s="42"/>
    </row>
    <row r="466" spans="4:6" x14ac:dyDescent="0.3">
      <c r="D466" s="90"/>
      <c r="F466" s="42"/>
    </row>
    <row r="467" spans="4:6" x14ac:dyDescent="0.3">
      <c r="D467" s="90"/>
      <c r="F467" s="42"/>
    </row>
    <row r="468" spans="4:6" x14ac:dyDescent="0.3">
      <c r="D468" s="90"/>
      <c r="F468" s="42"/>
    </row>
    <row r="469" spans="4:6" x14ac:dyDescent="0.3">
      <c r="D469" s="90"/>
      <c r="F469" s="42"/>
    </row>
    <row r="470" spans="4:6" x14ac:dyDescent="0.3">
      <c r="D470" s="90"/>
      <c r="F470" s="42"/>
    </row>
    <row r="471" spans="4:6" x14ac:dyDescent="0.3">
      <c r="D471" s="90"/>
      <c r="F471" s="42"/>
    </row>
    <row r="472" spans="4:6" x14ac:dyDescent="0.3">
      <c r="D472" s="90"/>
      <c r="F472" s="42"/>
    </row>
    <row r="473" spans="4:6" x14ac:dyDescent="0.3">
      <c r="D473" s="90"/>
      <c r="F473" s="42"/>
    </row>
    <row r="474" spans="4:6" x14ac:dyDescent="0.3">
      <c r="D474" s="90"/>
      <c r="F474" s="42"/>
    </row>
    <row r="475" spans="4:6" x14ac:dyDescent="0.3">
      <c r="D475" s="90"/>
      <c r="F475" s="42"/>
    </row>
    <row r="476" spans="4:6" x14ac:dyDescent="0.3">
      <c r="D476" s="90"/>
      <c r="F476" s="42"/>
    </row>
    <row r="477" spans="4:6" x14ac:dyDescent="0.3">
      <c r="D477" s="90"/>
      <c r="F477" s="42"/>
    </row>
    <row r="478" spans="4:6" x14ac:dyDescent="0.3">
      <c r="D478" s="90"/>
      <c r="F478" s="42"/>
    </row>
    <row r="479" spans="4:6" x14ac:dyDescent="0.3">
      <c r="D479" s="90"/>
      <c r="F479" s="42"/>
    </row>
    <row r="480" spans="4:6" x14ac:dyDescent="0.3">
      <c r="D480" s="90"/>
      <c r="F480" s="42"/>
    </row>
    <row r="481" spans="4:6" x14ac:dyDescent="0.3">
      <c r="D481" s="90"/>
      <c r="F481" s="42"/>
    </row>
    <row r="482" spans="4:6" x14ac:dyDescent="0.3">
      <c r="D482" s="90"/>
      <c r="F482" s="42"/>
    </row>
    <row r="483" spans="4:6" x14ac:dyDescent="0.3">
      <c r="D483" s="90"/>
      <c r="F483" s="42"/>
    </row>
    <row r="484" spans="4:6" x14ac:dyDescent="0.3">
      <c r="D484" s="90"/>
      <c r="F484" s="42"/>
    </row>
    <row r="485" spans="4:6" x14ac:dyDescent="0.3">
      <c r="D485" s="90"/>
      <c r="F485" s="42"/>
    </row>
    <row r="486" spans="4:6" x14ac:dyDescent="0.3">
      <c r="D486" s="90"/>
      <c r="F486" s="42"/>
    </row>
    <row r="487" spans="4:6" x14ac:dyDescent="0.3">
      <c r="D487" s="90"/>
      <c r="F487" s="42"/>
    </row>
    <row r="488" spans="4:6" x14ac:dyDescent="0.3">
      <c r="D488" s="90"/>
      <c r="F488" s="42"/>
    </row>
    <row r="489" spans="4:6" x14ac:dyDescent="0.3">
      <c r="D489" s="90"/>
      <c r="F489" s="42"/>
    </row>
    <row r="490" spans="4:6" x14ac:dyDescent="0.3">
      <c r="D490" s="90"/>
      <c r="F490" s="42"/>
    </row>
    <row r="491" spans="4:6" x14ac:dyDescent="0.3">
      <c r="D491" s="90"/>
      <c r="F491" s="42"/>
    </row>
    <row r="492" spans="4:6" x14ac:dyDescent="0.3">
      <c r="D492" s="90"/>
      <c r="F492" s="42"/>
    </row>
    <row r="493" spans="4:6" x14ac:dyDescent="0.3">
      <c r="D493" s="90"/>
      <c r="F493" s="42"/>
    </row>
    <row r="494" spans="4:6" x14ac:dyDescent="0.3">
      <c r="D494" s="90"/>
      <c r="F494" s="42"/>
    </row>
    <row r="495" spans="4:6" x14ac:dyDescent="0.3">
      <c r="D495" s="90"/>
      <c r="F495" s="42"/>
    </row>
    <row r="496" spans="4:6" x14ac:dyDescent="0.3">
      <c r="D496" s="90"/>
      <c r="F496" s="42"/>
    </row>
    <row r="497" spans="4:6" x14ac:dyDescent="0.3">
      <c r="D497" s="90"/>
      <c r="F497" s="42"/>
    </row>
    <row r="498" spans="4:6" x14ac:dyDescent="0.3">
      <c r="D498" s="90"/>
      <c r="F498" s="42"/>
    </row>
    <row r="499" spans="4:6" x14ac:dyDescent="0.3">
      <c r="D499" s="90"/>
      <c r="F499" s="42"/>
    </row>
    <row r="500" spans="4:6" x14ac:dyDescent="0.3">
      <c r="D500" s="90"/>
      <c r="F500" s="42"/>
    </row>
    <row r="501" spans="4:6" x14ac:dyDescent="0.3">
      <c r="D501" s="90"/>
      <c r="F501" s="42"/>
    </row>
    <row r="502" spans="4:6" x14ac:dyDescent="0.3">
      <c r="D502" s="90"/>
      <c r="F502" s="42"/>
    </row>
    <row r="503" spans="4:6" x14ac:dyDescent="0.3">
      <c r="D503" s="90"/>
      <c r="F503" s="42"/>
    </row>
    <row r="504" spans="4:6" x14ac:dyDescent="0.3">
      <c r="D504" s="90"/>
      <c r="F504" s="42"/>
    </row>
    <row r="505" spans="4:6" x14ac:dyDescent="0.3">
      <c r="D505" s="90"/>
      <c r="F505" s="42"/>
    </row>
    <row r="506" spans="4:6" x14ac:dyDescent="0.3">
      <c r="D506" s="90"/>
      <c r="F506" s="42"/>
    </row>
    <row r="507" spans="4:6" x14ac:dyDescent="0.3">
      <c r="D507" s="90"/>
      <c r="F507" s="42"/>
    </row>
    <row r="508" spans="4:6" x14ac:dyDescent="0.3">
      <c r="D508" s="90"/>
      <c r="F508" s="42"/>
    </row>
    <row r="509" spans="4:6" x14ac:dyDescent="0.3">
      <c r="D509" s="90"/>
      <c r="F509" s="42"/>
    </row>
    <row r="510" spans="4:6" x14ac:dyDescent="0.3">
      <c r="D510" s="90"/>
      <c r="F510" s="42"/>
    </row>
    <row r="511" spans="4:6" x14ac:dyDescent="0.3">
      <c r="D511" s="90"/>
      <c r="F511" s="42"/>
    </row>
    <row r="512" spans="4:6" x14ac:dyDescent="0.3">
      <c r="D512" s="90"/>
      <c r="F512" s="42"/>
    </row>
    <row r="513" spans="4:6" x14ac:dyDescent="0.3">
      <c r="D513" s="90"/>
      <c r="F513" s="42"/>
    </row>
    <row r="514" spans="4:6" x14ac:dyDescent="0.3">
      <c r="D514" s="90"/>
      <c r="F514" s="42"/>
    </row>
    <row r="515" spans="4:6" x14ac:dyDescent="0.3">
      <c r="D515" s="90"/>
      <c r="F515" s="42"/>
    </row>
    <row r="516" spans="4:6" x14ac:dyDescent="0.3">
      <c r="D516" s="90"/>
      <c r="F516" s="42"/>
    </row>
    <row r="517" spans="4:6" x14ac:dyDescent="0.3">
      <c r="D517" s="90"/>
      <c r="F517" s="42"/>
    </row>
    <row r="518" spans="4:6" x14ac:dyDescent="0.3">
      <c r="D518" s="90"/>
      <c r="F518" s="42"/>
    </row>
    <row r="519" spans="4:6" x14ac:dyDescent="0.3">
      <c r="D519" s="90"/>
      <c r="F519" s="42"/>
    </row>
    <row r="520" spans="4:6" x14ac:dyDescent="0.3">
      <c r="D520" s="90"/>
      <c r="F520" s="42"/>
    </row>
    <row r="521" spans="4:6" x14ac:dyDescent="0.3">
      <c r="D521" s="90"/>
      <c r="F521" s="42"/>
    </row>
    <row r="522" spans="4:6" x14ac:dyDescent="0.3">
      <c r="D522" s="90"/>
      <c r="F522" s="42"/>
    </row>
    <row r="523" spans="4:6" x14ac:dyDescent="0.3">
      <c r="D523" s="90"/>
      <c r="F523" s="42"/>
    </row>
    <row r="524" spans="4:6" x14ac:dyDescent="0.3">
      <c r="D524" s="90"/>
      <c r="F524" s="42"/>
    </row>
    <row r="525" spans="4:6" x14ac:dyDescent="0.3">
      <c r="D525" s="90"/>
      <c r="F525" s="42"/>
    </row>
    <row r="526" spans="4:6" x14ac:dyDescent="0.3">
      <c r="D526" s="90"/>
      <c r="F526" s="42"/>
    </row>
    <row r="527" spans="4:6" x14ac:dyDescent="0.3">
      <c r="D527" s="90"/>
      <c r="F527" s="42"/>
    </row>
    <row r="528" spans="4:6" x14ac:dyDescent="0.3">
      <c r="D528" s="90"/>
      <c r="F528" s="42"/>
    </row>
    <row r="529" spans="4:6" x14ac:dyDescent="0.3">
      <c r="D529" s="90"/>
      <c r="F529" s="42"/>
    </row>
    <row r="530" spans="4:6" x14ac:dyDescent="0.3">
      <c r="D530" s="90"/>
      <c r="F530" s="42"/>
    </row>
    <row r="531" spans="4:6" x14ac:dyDescent="0.3">
      <c r="D531" s="90"/>
      <c r="F531" s="42"/>
    </row>
    <row r="532" spans="4:6" x14ac:dyDescent="0.3">
      <c r="D532" s="90"/>
      <c r="F532" s="42"/>
    </row>
    <row r="533" spans="4:6" x14ac:dyDescent="0.3">
      <c r="D533" s="90"/>
      <c r="F533" s="42"/>
    </row>
    <row r="534" spans="4:6" x14ac:dyDescent="0.3">
      <c r="D534" s="90"/>
      <c r="F534" s="42"/>
    </row>
    <row r="535" spans="4:6" x14ac:dyDescent="0.3">
      <c r="D535" s="90"/>
      <c r="F535" s="42"/>
    </row>
    <row r="536" spans="4:6" x14ac:dyDescent="0.3">
      <c r="D536" s="90"/>
      <c r="F536" s="42"/>
    </row>
    <row r="537" spans="4:6" x14ac:dyDescent="0.3">
      <c r="D537" s="90"/>
      <c r="F537" s="42"/>
    </row>
    <row r="538" spans="4:6" x14ac:dyDescent="0.3">
      <c r="D538" s="90"/>
      <c r="F538" s="42"/>
    </row>
    <row r="539" spans="4:6" x14ac:dyDescent="0.3">
      <c r="D539" s="90"/>
      <c r="F539" s="42"/>
    </row>
    <row r="540" spans="4:6" x14ac:dyDescent="0.3">
      <c r="D540" s="90"/>
      <c r="F540" s="42"/>
    </row>
    <row r="541" spans="4:6" x14ac:dyDescent="0.3">
      <c r="D541" s="90"/>
      <c r="F541" s="42"/>
    </row>
    <row r="542" spans="4:6" x14ac:dyDescent="0.3">
      <c r="D542" s="90"/>
      <c r="F542" s="42"/>
    </row>
    <row r="543" spans="4:6" x14ac:dyDescent="0.3">
      <c r="D543" s="90"/>
      <c r="F543" s="42"/>
    </row>
    <row r="544" spans="4:6" x14ac:dyDescent="0.3">
      <c r="D544" s="90"/>
      <c r="F544" s="42"/>
    </row>
    <row r="545" spans="4:6" x14ac:dyDescent="0.3">
      <c r="D545" s="90"/>
      <c r="F545" s="42"/>
    </row>
    <row r="546" spans="4:6" x14ac:dyDescent="0.3">
      <c r="D546" s="90"/>
      <c r="F546" s="42"/>
    </row>
    <row r="547" spans="4:6" x14ac:dyDescent="0.3">
      <c r="D547" s="90"/>
      <c r="F547" s="42"/>
    </row>
    <row r="548" spans="4:6" x14ac:dyDescent="0.3">
      <c r="D548" s="90"/>
      <c r="F548" s="42"/>
    </row>
    <row r="549" spans="4:6" x14ac:dyDescent="0.3">
      <c r="D549" s="90"/>
      <c r="F549" s="42"/>
    </row>
    <row r="550" spans="4:6" x14ac:dyDescent="0.3">
      <c r="D550" s="90"/>
      <c r="F550" s="42"/>
    </row>
    <row r="551" spans="4:6" x14ac:dyDescent="0.3">
      <c r="D551" s="90"/>
      <c r="F551" s="42"/>
    </row>
    <row r="552" spans="4:6" x14ac:dyDescent="0.3">
      <c r="D552" s="90"/>
      <c r="F552" s="42"/>
    </row>
    <row r="553" spans="4:6" x14ac:dyDescent="0.3">
      <c r="D553" s="90"/>
      <c r="F553" s="42"/>
    </row>
    <row r="554" spans="4:6" x14ac:dyDescent="0.3">
      <c r="D554" s="90"/>
      <c r="F554" s="42"/>
    </row>
    <row r="555" spans="4:6" x14ac:dyDescent="0.3">
      <c r="D555" s="90"/>
      <c r="F555" s="42"/>
    </row>
    <row r="556" spans="4:6" x14ac:dyDescent="0.3">
      <c r="D556" s="90"/>
      <c r="F556" s="42"/>
    </row>
    <row r="557" spans="4:6" x14ac:dyDescent="0.3">
      <c r="D557" s="90"/>
      <c r="F557" s="42"/>
    </row>
    <row r="558" spans="4:6" x14ac:dyDescent="0.3">
      <c r="D558" s="90"/>
      <c r="F558" s="42"/>
    </row>
    <row r="559" spans="4:6" x14ac:dyDescent="0.3">
      <c r="D559" s="90"/>
      <c r="F559" s="42"/>
    </row>
    <row r="560" spans="4:6" x14ac:dyDescent="0.3">
      <c r="D560" s="90"/>
      <c r="F560" s="42"/>
    </row>
    <row r="561" spans="4:6" x14ac:dyDescent="0.3">
      <c r="D561" s="90"/>
      <c r="F561" s="42"/>
    </row>
    <row r="562" spans="4:6" x14ac:dyDescent="0.3">
      <c r="D562" s="90"/>
      <c r="F562" s="42"/>
    </row>
    <row r="563" spans="4:6" x14ac:dyDescent="0.3">
      <c r="D563" s="90"/>
      <c r="F563" s="42"/>
    </row>
    <row r="564" spans="4:6" x14ac:dyDescent="0.3">
      <c r="D564" s="90"/>
      <c r="F564" s="42"/>
    </row>
    <row r="565" spans="4:6" x14ac:dyDescent="0.3">
      <c r="D565" s="90"/>
      <c r="F565" s="42"/>
    </row>
    <row r="566" spans="4:6" x14ac:dyDescent="0.3">
      <c r="D566" s="90"/>
      <c r="F566" s="42"/>
    </row>
    <row r="567" spans="4:6" x14ac:dyDescent="0.3">
      <c r="D567" s="90"/>
      <c r="F567" s="42"/>
    </row>
    <row r="568" spans="4:6" x14ac:dyDescent="0.3">
      <c r="D568" s="90"/>
      <c r="F568" s="42"/>
    </row>
    <row r="569" spans="4:6" x14ac:dyDescent="0.3">
      <c r="D569" s="90"/>
      <c r="F569" s="42"/>
    </row>
    <row r="570" spans="4:6" x14ac:dyDescent="0.3">
      <c r="D570" s="90"/>
      <c r="F570" s="42"/>
    </row>
    <row r="571" spans="4:6" x14ac:dyDescent="0.3">
      <c r="D571" s="90"/>
      <c r="F571" s="42"/>
    </row>
    <row r="572" spans="4:6" x14ac:dyDescent="0.3">
      <c r="D572" s="90"/>
      <c r="F572" s="42"/>
    </row>
    <row r="573" spans="4:6" x14ac:dyDescent="0.3">
      <c r="D573" s="90"/>
      <c r="F573" s="42"/>
    </row>
    <row r="574" spans="4:6" x14ac:dyDescent="0.3">
      <c r="D574" s="90"/>
      <c r="F574" s="42"/>
    </row>
    <row r="575" spans="4:6" x14ac:dyDescent="0.3">
      <c r="D575" s="90"/>
      <c r="F575" s="42"/>
    </row>
    <row r="576" spans="4:6" x14ac:dyDescent="0.3">
      <c r="D576" s="90"/>
      <c r="F576" s="42"/>
    </row>
    <row r="577" spans="4:6" x14ac:dyDescent="0.3">
      <c r="D577" s="90"/>
      <c r="F577" s="42"/>
    </row>
    <row r="578" spans="4:6" x14ac:dyDescent="0.3">
      <c r="D578" s="90"/>
      <c r="F578" s="42"/>
    </row>
    <row r="579" spans="4:6" x14ac:dyDescent="0.3">
      <c r="D579" s="90"/>
      <c r="F579" s="42"/>
    </row>
    <row r="580" spans="4:6" x14ac:dyDescent="0.3">
      <c r="D580" s="90"/>
      <c r="F580" s="42"/>
    </row>
    <row r="581" spans="4:6" x14ac:dyDescent="0.3">
      <c r="D581" s="90"/>
      <c r="F581" s="42"/>
    </row>
    <row r="582" spans="4:6" x14ac:dyDescent="0.3">
      <c r="D582" s="90"/>
      <c r="F582" s="42"/>
    </row>
    <row r="583" spans="4:6" x14ac:dyDescent="0.3">
      <c r="D583" s="90"/>
      <c r="F583" s="42"/>
    </row>
    <row r="584" spans="4:6" x14ac:dyDescent="0.3">
      <c r="D584" s="90"/>
      <c r="F584" s="42"/>
    </row>
    <row r="585" spans="4:6" x14ac:dyDescent="0.3">
      <c r="D585" s="90"/>
      <c r="F585" s="42"/>
    </row>
    <row r="586" spans="4:6" x14ac:dyDescent="0.3">
      <c r="D586" s="90"/>
      <c r="F586" s="42"/>
    </row>
    <row r="587" spans="4:6" x14ac:dyDescent="0.3">
      <c r="D587" s="90"/>
      <c r="F587" s="42"/>
    </row>
    <row r="588" spans="4:6" x14ac:dyDescent="0.3">
      <c r="D588" s="90"/>
      <c r="F588" s="42"/>
    </row>
    <row r="589" spans="4:6" x14ac:dyDescent="0.3">
      <c r="D589" s="90"/>
      <c r="F589" s="42"/>
    </row>
    <row r="590" spans="4:6" x14ac:dyDescent="0.3">
      <c r="D590" s="90"/>
      <c r="F590" s="42"/>
    </row>
    <row r="591" spans="4:6" x14ac:dyDescent="0.3">
      <c r="D591" s="90"/>
      <c r="F591" s="42"/>
    </row>
    <row r="592" spans="4:6" x14ac:dyDescent="0.3">
      <c r="D592" s="90"/>
      <c r="F592" s="42"/>
    </row>
    <row r="593" spans="4:6" x14ac:dyDescent="0.3">
      <c r="D593" s="90"/>
      <c r="F593" s="42"/>
    </row>
    <row r="594" spans="4:6" x14ac:dyDescent="0.3">
      <c r="D594" s="90"/>
      <c r="F594" s="42"/>
    </row>
    <row r="595" spans="4:6" x14ac:dyDescent="0.3">
      <c r="D595" s="90"/>
      <c r="F595" s="42"/>
    </row>
    <row r="596" spans="4:6" x14ac:dyDescent="0.3">
      <c r="D596" s="90"/>
      <c r="F596" s="42"/>
    </row>
    <row r="597" spans="4:6" x14ac:dyDescent="0.3">
      <c r="D597" s="90"/>
      <c r="F597" s="42"/>
    </row>
    <row r="598" spans="4:6" x14ac:dyDescent="0.3">
      <c r="D598" s="90"/>
      <c r="F598" s="42"/>
    </row>
    <row r="599" spans="4:6" x14ac:dyDescent="0.3">
      <c r="D599" s="90"/>
      <c r="F599" s="42"/>
    </row>
    <row r="600" spans="4:6" x14ac:dyDescent="0.3">
      <c r="D600" s="90"/>
      <c r="F600" s="42"/>
    </row>
    <row r="601" spans="4:6" x14ac:dyDescent="0.3">
      <c r="D601" s="90"/>
      <c r="F601" s="42"/>
    </row>
    <row r="602" spans="4:6" x14ac:dyDescent="0.3">
      <c r="D602" s="90"/>
      <c r="F602" s="42"/>
    </row>
    <row r="603" spans="4:6" x14ac:dyDescent="0.3">
      <c r="D603" s="90"/>
      <c r="F603" s="42"/>
    </row>
    <row r="604" spans="4:6" x14ac:dyDescent="0.3">
      <c r="D604" s="90"/>
      <c r="F604" s="42"/>
    </row>
    <row r="605" spans="4:6" x14ac:dyDescent="0.3">
      <c r="D605" s="90"/>
      <c r="F605" s="42"/>
    </row>
    <row r="606" spans="4:6" x14ac:dyDescent="0.3">
      <c r="D606" s="90"/>
      <c r="F606" s="42"/>
    </row>
    <row r="607" spans="4:6" x14ac:dyDescent="0.3">
      <c r="D607" s="90"/>
      <c r="F607" s="42"/>
    </row>
    <row r="608" spans="4:6" x14ac:dyDescent="0.3">
      <c r="D608" s="90"/>
      <c r="F608" s="42"/>
    </row>
    <row r="609" spans="4:6" x14ac:dyDescent="0.3">
      <c r="D609" s="90"/>
      <c r="F609" s="42"/>
    </row>
    <row r="610" spans="4:6" x14ac:dyDescent="0.3">
      <c r="D610" s="90"/>
      <c r="F610" s="42"/>
    </row>
    <row r="611" spans="4:6" x14ac:dyDescent="0.3">
      <c r="D611" s="90"/>
      <c r="F611" s="42"/>
    </row>
    <row r="612" spans="4:6" x14ac:dyDescent="0.3">
      <c r="D612" s="90"/>
      <c r="F612" s="42"/>
    </row>
    <row r="613" spans="4:6" x14ac:dyDescent="0.3">
      <c r="D613" s="90"/>
      <c r="F613" s="42"/>
    </row>
    <row r="614" spans="4:6" x14ac:dyDescent="0.3">
      <c r="D614" s="90"/>
      <c r="F614" s="42"/>
    </row>
    <row r="615" spans="4:6" x14ac:dyDescent="0.3">
      <c r="D615" s="90"/>
      <c r="F615" s="42"/>
    </row>
    <row r="616" spans="4:6" x14ac:dyDescent="0.3">
      <c r="D616" s="90"/>
      <c r="F616" s="42"/>
    </row>
    <row r="617" spans="4:6" x14ac:dyDescent="0.3">
      <c r="D617" s="90"/>
      <c r="F617" s="42"/>
    </row>
    <row r="618" spans="4:6" x14ac:dyDescent="0.3">
      <c r="D618" s="90"/>
      <c r="F618" s="42"/>
    </row>
    <row r="619" spans="4:6" x14ac:dyDescent="0.3">
      <c r="D619" s="90"/>
      <c r="F619" s="42"/>
    </row>
    <row r="620" spans="4:6" x14ac:dyDescent="0.3">
      <c r="D620" s="90"/>
      <c r="F620" s="42"/>
    </row>
    <row r="621" spans="4:6" x14ac:dyDescent="0.3">
      <c r="D621" s="90"/>
      <c r="F621" s="42"/>
    </row>
    <row r="622" spans="4:6" x14ac:dyDescent="0.3">
      <c r="D622" s="90"/>
      <c r="F622" s="42"/>
    </row>
    <row r="623" spans="4:6" x14ac:dyDescent="0.3">
      <c r="D623" s="90"/>
      <c r="F623" s="42"/>
    </row>
    <row r="624" spans="4:6" x14ac:dyDescent="0.3">
      <c r="D624" s="90"/>
      <c r="F624" s="42"/>
    </row>
    <row r="625" spans="4:6" x14ac:dyDescent="0.3">
      <c r="D625" s="90"/>
      <c r="F625" s="42"/>
    </row>
    <row r="626" spans="4:6" x14ac:dyDescent="0.3">
      <c r="D626" s="90"/>
      <c r="F626" s="42"/>
    </row>
    <row r="627" spans="4:6" x14ac:dyDescent="0.3">
      <c r="D627" s="90"/>
      <c r="F627" s="42"/>
    </row>
    <row r="628" spans="4:6" x14ac:dyDescent="0.3">
      <c r="D628" s="90"/>
      <c r="F628" s="42"/>
    </row>
    <row r="629" spans="4:6" x14ac:dyDescent="0.3">
      <c r="D629" s="90"/>
      <c r="F629" s="42"/>
    </row>
    <row r="630" spans="4:6" x14ac:dyDescent="0.3">
      <c r="D630" s="90"/>
      <c r="F630" s="42"/>
    </row>
    <row r="631" spans="4:6" x14ac:dyDescent="0.3">
      <c r="D631" s="90"/>
      <c r="F631" s="42"/>
    </row>
    <row r="632" spans="4:6" x14ac:dyDescent="0.3">
      <c r="D632" s="90"/>
      <c r="F632" s="42"/>
    </row>
    <row r="633" spans="4:6" x14ac:dyDescent="0.3">
      <c r="D633" s="90"/>
      <c r="F633" s="42"/>
    </row>
    <row r="634" spans="4:6" x14ac:dyDescent="0.3">
      <c r="D634" s="90"/>
      <c r="F634" s="42"/>
    </row>
    <row r="635" spans="4:6" x14ac:dyDescent="0.3">
      <c r="D635" s="90"/>
      <c r="F635" s="42"/>
    </row>
    <row r="636" spans="4:6" x14ac:dyDescent="0.3">
      <c r="D636" s="90"/>
      <c r="F636" s="42"/>
    </row>
    <row r="637" spans="4:6" x14ac:dyDescent="0.3">
      <c r="D637" s="90"/>
      <c r="F637" s="42"/>
    </row>
    <row r="638" spans="4:6" x14ac:dyDescent="0.3">
      <c r="D638" s="90"/>
      <c r="F638" s="42"/>
    </row>
    <row r="639" spans="4:6" x14ac:dyDescent="0.3">
      <c r="D639" s="90"/>
      <c r="F639" s="42"/>
    </row>
    <row r="640" spans="4:6" x14ac:dyDescent="0.3">
      <c r="D640" s="90"/>
      <c r="F640" s="42"/>
    </row>
    <row r="641" spans="4:6" x14ac:dyDescent="0.3">
      <c r="D641" s="90"/>
      <c r="F641" s="42"/>
    </row>
    <row r="642" spans="4:6" x14ac:dyDescent="0.3">
      <c r="D642" s="90"/>
      <c r="F642" s="42"/>
    </row>
    <row r="643" spans="4:6" x14ac:dyDescent="0.3">
      <c r="D643" s="90"/>
      <c r="F643" s="42"/>
    </row>
    <row r="644" spans="4:6" x14ac:dyDescent="0.3">
      <c r="D644" s="90"/>
      <c r="F644" s="42"/>
    </row>
    <row r="645" spans="4:6" x14ac:dyDescent="0.3">
      <c r="D645" s="90"/>
      <c r="F645" s="42"/>
    </row>
    <row r="646" spans="4:6" x14ac:dyDescent="0.3">
      <c r="D646" s="90"/>
      <c r="F646" s="42"/>
    </row>
    <row r="647" spans="4:6" x14ac:dyDescent="0.3">
      <c r="D647" s="90"/>
      <c r="F647" s="42"/>
    </row>
    <row r="648" spans="4:6" x14ac:dyDescent="0.3">
      <c r="D648" s="90"/>
      <c r="F648" s="42"/>
    </row>
    <row r="649" spans="4:6" x14ac:dyDescent="0.3">
      <c r="D649" s="90"/>
      <c r="F649" s="42"/>
    </row>
    <row r="650" spans="4:6" x14ac:dyDescent="0.3">
      <c r="D650" s="90"/>
      <c r="F650" s="42"/>
    </row>
    <row r="651" spans="4:6" x14ac:dyDescent="0.3">
      <c r="D651" s="90"/>
      <c r="F651" s="42"/>
    </row>
    <row r="652" spans="4:6" x14ac:dyDescent="0.3">
      <c r="D652" s="90"/>
      <c r="F652" s="42"/>
    </row>
    <row r="653" spans="4:6" x14ac:dyDescent="0.3">
      <c r="D653" s="90"/>
      <c r="F653" s="42"/>
    </row>
    <row r="654" spans="4:6" x14ac:dyDescent="0.3">
      <c r="D654" s="90"/>
      <c r="F654" s="42"/>
    </row>
    <row r="655" spans="4:6" x14ac:dyDescent="0.3">
      <c r="D655" s="90"/>
      <c r="F655" s="42"/>
    </row>
    <row r="656" spans="4:6" x14ac:dyDescent="0.3">
      <c r="D656" s="90"/>
      <c r="F656" s="42"/>
    </row>
    <row r="657" spans="4:6" x14ac:dyDescent="0.3">
      <c r="D657" s="90"/>
      <c r="F657" s="42"/>
    </row>
    <row r="658" spans="4:6" x14ac:dyDescent="0.3">
      <c r="D658" s="90"/>
      <c r="F658" s="42"/>
    </row>
    <row r="659" spans="4:6" x14ac:dyDescent="0.3">
      <c r="D659" s="90"/>
      <c r="F659" s="42"/>
    </row>
    <row r="660" spans="4:6" x14ac:dyDescent="0.3">
      <c r="D660" s="90"/>
      <c r="F660" s="42"/>
    </row>
    <row r="661" spans="4:6" x14ac:dyDescent="0.3">
      <c r="D661" s="90"/>
      <c r="F661" s="42"/>
    </row>
    <row r="662" spans="4:6" x14ac:dyDescent="0.3">
      <c r="D662" s="90"/>
      <c r="F662" s="42"/>
    </row>
    <row r="663" spans="4:6" x14ac:dyDescent="0.3">
      <c r="D663" s="90"/>
      <c r="F663" s="42"/>
    </row>
    <row r="664" spans="4:6" x14ac:dyDescent="0.3">
      <c r="D664" s="90"/>
      <c r="F664" s="42"/>
    </row>
    <row r="665" spans="4:6" x14ac:dyDescent="0.3">
      <c r="D665" s="90"/>
      <c r="F665" s="42"/>
    </row>
    <row r="666" spans="4:6" x14ac:dyDescent="0.3">
      <c r="D666" s="90"/>
      <c r="F666" s="42"/>
    </row>
    <row r="667" spans="4:6" x14ac:dyDescent="0.3">
      <c r="D667" s="90"/>
      <c r="F667" s="42"/>
    </row>
    <row r="668" spans="4:6" x14ac:dyDescent="0.3">
      <c r="D668" s="90"/>
      <c r="F668" s="42"/>
    </row>
    <row r="669" spans="4:6" x14ac:dyDescent="0.3">
      <c r="D669" s="90"/>
      <c r="F669" s="42"/>
    </row>
    <row r="670" spans="4:6" x14ac:dyDescent="0.3">
      <c r="D670" s="90"/>
      <c r="F670" s="42"/>
    </row>
    <row r="671" spans="4:6" x14ac:dyDescent="0.3">
      <c r="D671" s="90"/>
      <c r="F671" s="42"/>
    </row>
    <row r="672" spans="4:6" x14ac:dyDescent="0.3">
      <c r="D672" s="90"/>
      <c r="F672" s="42"/>
    </row>
    <row r="673" spans="4:6" x14ac:dyDescent="0.3">
      <c r="D673" s="90"/>
      <c r="F673" s="42"/>
    </row>
    <row r="674" spans="4:6" x14ac:dyDescent="0.3">
      <c r="D674" s="90"/>
      <c r="F674" s="42"/>
    </row>
    <row r="675" spans="4:6" x14ac:dyDescent="0.3">
      <c r="D675" s="90"/>
      <c r="F675" s="42"/>
    </row>
    <row r="676" spans="4:6" x14ac:dyDescent="0.3">
      <c r="D676" s="90"/>
      <c r="F676" s="42"/>
    </row>
    <row r="677" spans="4:6" x14ac:dyDescent="0.3">
      <c r="D677" s="90"/>
      <c r="F677" s="42"/>
    </row>
    <row r="678" spans="4:6" x14ac:dyDescent="0.3">
      <c r="D678" s="90"/>
      <c r="F678" s="42"/>
    </row>
    <row r="679" spans="4:6" x14ac:dyDescent="0.3">
      <c r="D679" s="90"/>
      <c r="F679" s="42"/>
    </row>
    <row r="680" spans="4:6" x14ac:dyDescent="0.3">
      <c r="D680" s="90"/>
      <c r="F680" s="42"/>
    </row>
    <row r="681" spans="4:6" x14ac:dyDescent="0.3">
      <c r="D681" s="90"/>
      <c r="F681" s="42"/>
    </row>
    <row r="682" spans="4:6" x14ac:dyDescent="0.3">
      <c r="D682" s="90"/>
      <c r="F682" s="42"/>
    </row>
    <row r="683" spans="4:6" x14ac:dyDescent="0.3">
      <c r="D683" s="90"/>
      <c r="F683" s="42"/>
    </row>
    <row r="684" spans="4:6" x14ac:dyDescent="0.3">
      <c r="D684" s="90"/>
      <c r="F684" s="42"/>
    </row>
    <row r="685" spans="4:6" x14ac:dyDescent="0.3">
      <c r="D685" s="90"/>
      <c r="F685" s="42"/>
    </row>
    <row r="686" spans="4:6" x14ac:dyDescent="0.3">
      <c r="D686" s="90"/>
      <c r="F686" s="42"/>
    </row>
    <row r="687" spans="4:6" x14ac:dyDescent="0.3">
      <c r="D687" s="90"/>
      <c r="F687" s="42"/>
    </row>
    <row r="688" spans="4:6" x14ac:dyDescent="0.3">
      <c r="D688" s="90"/>
      <c r="F688" s="42"/>
    </row>
    <row r="689" spans="4:6" x14ac:dyDescent="0.3">
      <c r="D689" s="90"/>
      <c r="F689" s="42"/>
    </row>
    <row r="690" spans="4:6" x14ac:dyDescent="0.3">
      <c r="D690" s="90"/>
      <c r="F690" s="42"/>
    </row>
    <row r="691" spans="4:6" x14ac:dyDescent="0.3">
      <c r="D691" s="90"/>
      <c r="F691" s="42"/>
    </row>
    <row r="692" spans="4:6" x14ac:dyDescent="0.3">
      <c r="D692" s="90"/>
      <c r="F692" s="42"/>
    </row>
    <row r="693" spans="4:6" x14ac:dyDescent="0.3">
      <c r="D693" s="90"/>
      <c r="F693" s="42"/>
    </row>
    <row r="694" spans="4:6" x14ac:dyDescent="0.3">
      <c r="D694" s="90"/>
      <c r="F694" s="42"/>
    </row>
    <row r="695" spans="4:6" x14ac:dyDescent="0.3">
      <c r="D695" s="90"/>
      <c r="F695" s="42"/>
    </row>
    <row r="696" spans="4:6" x14ac:dyDescent="0.3">
      <c r="D696" s="90"/>
      <c r="F696" s="42"/>
    </row>
    <row r="697" spans="4:6" x14ac:dyDescent="0.3">
      <c r="D697" s="90"/>
      <c r="F697" s="42"/>
    </row>
    <row r="698" spans="4:6" x14ac:dyDescent="0.3">
      <c r="D698" s="90"/>
      <c r="F698" s="42"/>
    </row>
    <row r="699" spans="4:6" x14ac:dyDescent="0.3">
      <c r="D699" s="90"/>
      <c r="F699" s="42"/>
    </row>
    <row r="700" spans="4:6" x14ac:dyDescent="0.3">
      <c r="D700" s="90"/>
      <c r="F700" s="42"/>
    </row>
    <row r="701" spans="4:6" x14ac:dyDescent="0.3">
      <c r="D701" s="90"/>
      <c r="F701" s="42"/>
    </row>
    <row r="702" spans="4:6" x14ac:dyDescent="0.3">
      <c r="D702" s="90"/>
      <c r="F702" s="42"/>
    </row>
    <row r="703" spans="4:6" x14ac:dyDescent="0.3">
      <c r="D703" s="90"/>
      <c r="F703" s="42"/>
    </row>
    <row r="704" spans="4:6" x14ac:dyDescent="0.3">
      <c r="D704" s="90"/>
      <c r="F704" s="42"/>
    </row>
    <row r="705" spans="4:6" x14ac:dyDescent="0.3">
      <c r="D705" s="90"/>
      <c r="F705" s="42"/>
    </row>
    <row r="706" spans="4:6" x14ac:dyDescent="0.3">
      <c r="D706" s="90"/>
      <c r="F706" s="42"/>
    </row>
    <row r="707" spans="4:6" x14ac:dyDescent="0.3">
      <c r="D707" s="90"/>
      <c r="F707" s="42"/>
    </row>
    <row r="708" spans="4:6" x14ac:dyDescent="0.3">
      <c r="D708" s="90"/>
      <c r="F708" s="42"/>
    </row>
    <row r="709" spans="4:6" x14ac:dyDescent="0.3">
      <c r="D709" s="90"/>
      <c r="F709" s="42"/>
    </row>
    <row r="710" spans="4:6" x14ac:dyDescent="0.3">
      <c r="D710" s="90"/>
      <c r="F710" s="42"/>
    </row>
    <row r="711" spans="4:6" x14ac:dyDescent="0.3">
      <c r="D711" s="90"/>
      <c r="F711" s="42"/>
    </row>
    <row r="712" spans="4:6" x14ac:dyDescent="0.3">
      <c r="D712" s="90"/>
      <c r="F712" s="42"/>
    </row>
    <row r="713" spans="4:6" x14ac:dyDescent="0.3">
      <c r="D713" s="90"/>
      <c r="F713" s="42"/>
    </row>
    <row r="714" spans="4:6" x14ac:dyDescent="0.3">
      <c r="D714" s="90"/>
      <c r="F714" s="42"/>
    </row>
    <row r="715" spans="4:6" x14ac:dyDescent="0.3">
      <c r="D715" s="90"/>
      <c r="F715" s="42"/>
    </row>
    <row r="716" spans="4:6" x14ac:dyDescent="0.3">
      <c r="D716" s="90"/>
      <c r="F716" s="42"/>
    </row>
    <row r="717" spans="4:6" x14ac:dyDescent="0.3">
      <c r="D717" s="90"/>
      <c r="F717" s="42"/>
    </row>
    <row r="718" spans="4:6" x14ac:dyDescent="0.3">
      <c r="D718" s="90"/>
      <c r="F718" s="42"/>
    </row>
    <row r="719" spans="4:6" x14ac:dyDescent="0.3">
      <c r="D719" s="90"/>
      <c r="F719" s="42"/>
    </row>
    <row r="720" spans="4:6" x14ac:dyDescent="0.3">
      <c r="D720" s="90"/>
      <c r="F720" s="42"/>
    </row>
    <row r="721" spans="4:6" x14ac:dyDescent="0.3">
      <c r="D721" s="90"/>
      <c r="F721" s="42"/>
    </row>
    <row r="722" spans="4:6" x14ac:dyDescent="0.3">
      <c r="D722" s="90"/>
      <c r="F722" s="42"/>
    </row>
    <row r="723" spans="4:6" x14ac:dyDescent="0.3">
      <c r="D723" s="90"/>
      <c r="F723" s="42"/>
    </row>
    <row r="724" spans="4:6" x14ac:dyDescent="0.3">
      <c r="D724" s="90"/>
      <c r="F724" s="42"/>
    </row>
    <row r="725" spans="4:6" x14ac:dyDescent="0.3">
      <c r="D725" s="90"/>
      <c r="F725" s="42"/>
    </row>
    <row r="726" spans="4:6" x14ac:dyDescent="0.3">
      <c r="D726" s="90"/>
      <c r="F726" s="42"/>
    </row>
    <row r="727" spans="4:6" x14ac:dyDescent="0.3">
      <c r="D727" s="90"/>
      <c r="F727" s="42"/>
    </row>
    <row r="728" spans="4:6" x14ac:dyDescent="0.3">
      <c r="D728" s="90"/>
      <c r="F728" s="42"/>
    </row>
    <row r="729" spans="4:6" x14ac:dyDescent="0.3">
      <c r="D729" s="90"/>
      <c r="F729" s="42"/>
    </row>
    <row r="730" spans="4:6" x14ac:dyDescent="0.3">
      <c r="D730" s="90"/>
      <c r="F730" s="42"/>
    </row>
    <row r="731" spans="4:6" x14ac:dyDescent="0.3">
      <c r="D731" s="90"/>
      <c r="F731" s="42"/>
    </row>
    <row r="732" spans="4:6" x14ac:dyDescent="0.3">
      <c r="D732" s="90"/>
      <c r="F732" s="42"/>
    </row>
    <row r="733" spans="4:6" x14ac:dyDescent="0.3">
      <c r="D733" s="90"/>
      <c r="F733" s="42"/>
    </row>
    <row r="734" spans="4:6" x14ac:dyDescent="0.3">
      <c r="D734" s="90"/>
      <c r="F734" s="42"/>
    </row>
    <row r="735" spans="4:6" x14ac:dyDescent="0.3">
      <c r="D735" s="90"/>
      <c r="F735" s="42"/>
    </row>
    <row r="736" spans="4:6" x14ac:dyDescent="0.3">
      <c r="D736" s="90"/>
      <c r="F736" s="42"/>
    </row>
    <row r="737" spans="4:6" x14ac:dyDescent="0.3">
      <c r="D737" s="90"/>
      <c r="F737" s="42"/>
    </row>
    <row r="738" spans="4:6" x14ac:dyDescent="0.3">
      <c r="D738" s="90"/>
      <c r="F738" s="42"/>
    </row>
    <row r="739" spans="4:6" x14ac:dyDescent="0.3">
      <c r="D739" s="90"/>
      <c r="F739" s="42"/>
    </row>
    <row r="740" spans="4:6" x14ac:dyDescent="0.3">
      <c r="D740" s="90"/>
      <c r="F740" s="42"/>
    </row>
    <row r="741" spans="4:6" x14ac:dyDescent="0.3">
      <c r="D741" s="90"/>
      <c r="F741" s="42"/>
    </row>
    <row r="742" spans="4:6" x14ac:dyDescent="0.3">
      <c r="D742" s="90"/>
      <c r="F742" s="42"/>
    </row>
    <row r="743" spans="4:6" x14ac:dyDescent="0.3">
      <c r="D743" s="90"/>
      <c r="F743" s="42"/>
    </row>
    <row r="744" spans="4:6" x14ac:dyDescent="0.3">
      <c r="D744" s="90"/>
      <c r="F744" s="42"/>
    </row>
    <row r="745" spans="4:6" x14ac:dyDescent="0.3">
      <c r="D745" s="90"/>
      <c r="F745" s="42"/>
    </row>
    <row r="746" spans="4:6" x14ac:dyDescent="0.3">
      <c r="D746" s="90"/>
      <c r="F746" s="42"/>
    </row>
    <row r="747" spans="4:6" x14ac:dyDescent="0.3">
      <c r="D747" s="90"/>
      <c r="F747" s="42"/>
    </row>
    <row r="748" spans="4:6" x14ac:dyDescent="0.3">
      <c r="D748" s="90"/>
      <c r="F748" s="42"/>
    </row>
    <row r="749" spans="4:6" x14ac:dyDescent="0.3">
      <c r="D749" s="90"/>
      <c r="F749" s="42"/>
    </row>
    <row r="750" spans="4:6" x14ac:dyDescent="0.3">
      <c r="D750" s="90"/>
      <c r="F750" s="42"/>
    </row>
    <row r="751" spans="4:6" x14ac:dyDescent="0.3">
      <c r="D751" s="90"/>
      <c r="F751" s="42"/>
    </row>
    <row r="752" spans="4:6" x14ac:dyDescent="0.3">
      <c r="D752" s="90"/>
      <c r="F752" s="42"/>
    </row>
    <row r="753" spans="4:6" x14ac:dyDescent="0.3">
      <c r="D753" s="90"/>
      <c r="F753" s="42"/>
    </row>
    <row r="754" spans="4:6" x14ac:dyDescent="0.3">
      <c r="D754" s="90"/>
      <c r="F754" s="42"/>
    </row>
    <row r="755" spans="4:6" x14ac:dyDescent="0.3">
      <c r="D755" s="90"/>
      <c r="F755" s="42"/>
    </row>
    <row r="756" spans="4:6" x14ac:dyDescent="0.3">
      <c r="D756" s="90"/>
      <c r="F756" s="42"/>
    </row>
    <row r="757" spans="4:6" x14ac:dyDescent="0.3">
      <c r="D757" s="90"/>
      <c r="F757" s="42"/>
    </row>
    <row r="758" spans="4:6" x14ac:dyDescent="0.3">
      <c r="D758" s="90"/>
      <c r="F758" s="42"/>
    </row>
    <row r="759" spans="4:6" x14ac:dyDescent="0.3">
      <c r="D759" s="90"/>
      <c r="F759" s="42"/>
    </row>
    <row r="760" spans="4:6" x14ac:dyDescent="0.3">
      <c r="D760" s="90"/>
      <c r="F760" s="42"/>
    </row>
    <row r="761" spans="4:6" x14ac:dyDescent="0.3">
      <c r="D761" s="90"/>
      <c r="F761" s="42"/>
    </row>
    <row r="762" spans="4:6" x14ac:dyDescent="0.3">
      <c r="D762" s="90"/>
      <c r="F762" s="42"/>
    </row>
    <row r="763" spans="4:6" x14ac:dyDescent="0.3">
      <c r="D763" s="90"/>
      <c r="F763" s="42"/>
    </row>
    <row r="764" spans="4:6" x14ac:dyDescent="0.3">
      <c r="D764" s="90"/>
      <c r="F764" s="42"/>
    </row>
    <row r="765" spans="4:6" x14ac:dyDescent="0.3">
      <c r="D765" s="90"/>
      <c r="F765" s="42"/>
    </row>
    <row r="766" spans="4:6" x14ac:dyDescent="0.3">
      <c r="D766" s="90"/>
      <c r="F766" s="42"/>
    </row>
    <row r="767" spans="4:6" x14ac:dyDescent="0.3">
      <c r="D767" s="90"/>
      <c r="F767" s="42"/>
    </row>
    <row r="768" spans="4:6" x14ac:dyDescent="0.3">
      <c r="D768" s="90"/>
      <c r="F768" s="42"/>
    </row>
    <row r="769" spans="4:6" x14ac:dyDescent="0.3">
      <c r="D769" s="90"/>
      <c r="F769" s="42"/>
    </row>
    <row r="770" spans="4:6" x14ac:dyDescent="0.3">
      <c r="D770" s="90"/>
      <c r="F770" s="42"/>
    </row>
    <row r="771" spans="4:6" x14ac:dyDescent="0.3">
      <c r="D771" s="90"/>
      <c r="F771" s="42"/>
    </row>
    <row r="772" spans="4:6" x14ac:dyDescent="0.3">
      <c r="D772" s="90"/>
      <c r="F772" s="42"/>
    </row>
    <row r="773" spans="4:6" x14ac:dyDescent="0.3">
      <c r="D773" s="90"/>
      <c r="F773" s="42"/>
    </row>
    <row r="774" spans="4:6" x14ac:dyDescent="0.3">
      <c r="D774" s="90"/>
      <c r="F774" s="42"/>
    </row>
    <row r="775" spans="4:6" x14ac:dyDescent="0.3">
      <c r="D775" s="90"/>
      <c r="F775" s="42"/>
    </row>
    <row r="776" spans="4:6" x14ac:dyDescent="0.3">
      <c r="D776" s="90"/>
      <c r="F776" s="42"/>
    </row>
    <row r="777" spans="4:6" x14ac:dyDescent="0.3">
      <c r="D777" s="90"/>
      <c r="F777" s="42"/>
    </row>
    <row r="778" spans="4:6" x14ac:dyDescent="0.3">
      <c r="D778" s="90"/>
      <c r="F778" s="42"/>
    </row>
    <row r="779" spans="4:6" x14ac:dyDescent="0.3">
      <c r="D779" s="90"/>
      <c r="F779" s="42"/>
    </row>
    <row r="780" spans="4:6" x14ac:dyDescent="0.3">
      <c r="D780" s="90"/>
      <c r="F780" s="42"/>
    </row>
    <row r="781" spans="4:6" x14ac:dyDescent="0.3">
      <c r="D781" s="90"/>
      <c r="F781" s="42"/>
    </row>
    <row r="782" spans="4:6" x14ac:dyDescent="0.3">
      <c r="D782" s="90"/>
      <c r="F782" s="42"/>
    </row>
    <row r="783" spans="4:6" x14ac:dyDescent="0.3">
      <c r="D783" s="90"/>
      <c r="F783" s="42"/>
    </row>
    <row r="784" spans="4:6" x14ac:dyDescent="0.3">
      <c r="D784" s="90"/>
      <c r="F784" s="42"/>
    </row>
    <row r="785" spans="4:6" x14ac:dyDescent="0.3">
      <c r="D785" s="90"/>
      <c r="F785" s="42"/>
    </row>
    <row r="786" spans="4:6" x14ac:dyDescent="0.3">
      <c r="D786" s="90"/>
      <c r="F786" s="42"/>
    </row>
    <row r="787" spans="4:6" x14ac:dyDescent="0.3">
      <c r="D787" s="90"/>
      <c r="F787" s="42"/>
    </row>
    <row r="788" spans="4:6" x14ac:dyDescent="0.3">
      <c r="D788" s="90"/>
      <c r="F788" s="42"/>
    </row>
    <row r="789" spans="4:6" x14ac:dyDescent="0.3">
      <c r="D789" s="90"/>
      <c r="F789" s="42"/>
    </row>
    <row r="790" spans="4:6" x14ac:dyDescent="0.3">
      <c r="D790" s="90"/>
      <c r="F790" s="42"/>
    </row>
    <row r="791" spans="4:6" x14ac:dyDescent="0.3">
      <c r="D791" s="90"/>
      <c r="F791" s="42"/>
    </row>
    <row r="792" spans="4:6" x14ac:dyDescent="0.3">
      <c r="D792" s="90"/>
      <c r="F792" s="42"/>
    </row>
    <row r="793" spans="4:6" x14ac:dyDescent="0.3">
      <c r="D793" s="90"/>
      <c r="F793" s="42"/>
    </row>
    <row r="794" spans="4:6" x14ac:dyDescent="0.3">
      <c r="D794" s="90"/>
      <c r="F794" s="42"/>
    </row>
    <row r="795" spans="4:6" x14ac:dyDescent="0.3">
      <c r="D795" s="90"/>
      <c r="F795" s="42"/>
    </row>
    <row r="796" spans="4:6" x14ac:dyDescent="0.3">
      <c r="D796" s="90"/>
      <c r="F796" s="42"/>
    </row>
    <row r="797" spans="4:6" x14ac:dyDescent="0.3">
      <c r="D797" s="90"/>
      <c r="F797" s="42"/>
    </row>
    <row r="798" spans="4:6" x14ac:dyDescent="0.3">
      <c r="D798" s="90"/>
      <c r="F798" s="42"/>
    </row>
    <row r="799" spans="4:6" x14ac:dyDescent="0.3">
      <c r="D799" s="90"/>
      <c r="F799" s="42"/>
    </row>
    <row r="800" spans="4:6" x14ac:dyDescent="0.3">
      <c r="D800" s="90"/>
      <c r="F800" s="42"/>
    </row>
    <row r="801" spans="4:6" x14ac:dyDescent="0.3">
      <c r="D801" s="90"/>
      <c r="F801" s="42"/>
    </row>
    <row r="802" spans="4:6" x14ac:dyDescent="0.3">
      <c r="D802" s="90"/>
      <c r="F802" s="42"/>
    </row>
    <row r="803" spans="4:6" x14ac:dyDescent="0.3">
      <c r="D803" s="90"/>
      <c r="F803" s="42"/>
    </row>
    <row r="804" spans="4:6" x14ac:dyDescent="0.3">
      <c r="D804" s="90"/>
      <c r="F804" s="42"/>
    </row>
    <row r="805" spans="4:6" x14ac:dyDescent="0.3">
      <c r="D805" s="90"/>
      <c r="F805" s="42"/>
    </row>
    <row r="806" spans="4:6" x14ac:dyDescent="0.3">
      <c r="D806" s="90"/>
      <c r="F806" s="42"/>
    </row>
    <row r="807" spans="4:6" x14ac:dyDescent="0.3">
      <c r="D807" s="90"/>
      <c r="F807" s="42"/>
    </row>
    <row r="808" spans="4:6" x14ac:dyDescent="0.3">
      <c r="D808" s="90"/>
      <c r="F808" s="42"/>
    </row>
    <row r="809" spans="4:6" x14ac:dyDescent="0.3">
      <c r="D809" s="90"/>
      <c r="F809" s="42"/>
    </row>
    <row r="810" spans="4:6" x14ac:dyDescent="0.3">
      <c r="D810" s="90"/>
      <c r="F810" s="42"/>
    </row>
    <row r="811" spans="4:6" x14ac:dyDescent="0.3">
      <c r="D811" s="90"/>
      <c r="F811" s="42"/>
    </row>
    <row r="812" spans="4:6" x14ac:dyDescent="0.3">
      <c r="D812" s="90"/>
      <c r="F812" s="42"/>
    </row>
    <row r="813" spans="4:6" x14ac:dyDescent="0.3">
      <c r="D813" s="90"/>
      <c r="F813" s="42"/>
    </row>
    <row r="814" spans="4:6" x14ac:dyDescent="0.3">
      <c r="D814" s="90"/>
      <c r="F814" s="42"/>
    </row>
    <row r="815" spans="4:6" x14ac:dyDescent="0.3">
      <c r="D815" s="90"/>
      <c r="F815" s="42"/>
    </row>
    <row r="816" spans="4:6" x14ac:dyDescent="0.3">
      <c r="D816" s="90"/>
      <c r="F816" s="42"/>
    </row>
    <row r="817" spans="4:6" x14ac:dyDescent="0.3">
      <c r="D817" s="90"/>
      <c r="F817" s="42"/>
    </row>
    <row r="818" spans="4:6" x14ac:dyDescent="0.3">
      <c r="D818" s="90"/>
      <c r="F818" s="42"/>
    </row>
    <row r="819" spans="4:6" x14ac:dyDescent="0.3">
      <c r="D819" s="90"/>
      <c r="F819" s="42"/>
    </row>
    <row r="820" spans="4:6" x14ac:dyDescent="0.3">
      <c r="D820" s="90"/>
      <c r="F820" s="42"/>
    </row>
    <row r="821" spans="4:6" x14ac:dyDescent="0.3">
      <c r="D821" s="90"/>
      <c r="F821" s="42"/>
    </row>
    <row r="822" spans="4:6" x14ac:dyDescent="0.3">
      <c r="D822" s="90"/>
      <c r="F822" s="42"/>
    </row>
    <row r="823" spans="4:6" x14ac:dyDescent="0.3">
      <c r="D823" s="90"/>
      <c r="F823" s="42"/>
    </row>
    <row r="824" spans="4:6" x14ac:dyDescent="0.3">
      <c r="D824" s="90"/>
      <c r="F824" s="42"/>
    </row>
    <row r="825" spans="4:6" x14ac:dyDescent="0.3">
      <c r="D825" s="90"/>
      <c r="F825" s="42"/>
    </row>
    <row r="826" spans="4:6" x14ac:dyDescent="0.3">
      <c r="D826" s="90"/>
      <c r="F826" s="42"/>
    </row>
    <row r="827" spans="4:6" x14ac:dyDescent="0.3">
      <c r="D827" s="90"/>
      <c r="F827" s="42"/>
    </row>
    <row r="828" spans="4:6" x14ac:dyDescent="0.3">
      <c r="D828" s="90"/>
      <c r="F828" s="42"/>
    </row>
    <row r="829" spans="4:6" x14ac:dyDescent="0.3">
      <c r="D829" s="90"/>
      <c r="F829" s="42"/>
    </row>
    <row r="830" spans="4:6" x14ac:dyDescent="0.3">
      <c r="D830" s="90"/>
      <c r="F830" s="42"/>
    </row>
    <row r="831" spans="4:6" x14ac:dyDescent="0.3">
      <c r="D831" s="90"/>
      <c r="F831" s="42"/>
    </row>
    <row r="832" spans="4:6" x14ac:dyDescent="0.3">
      <c r="D832" s="90"/>
      <c r="F832" s="42"/>
    </row>
    <row r="833" spans="4:6" x14ac:dyDescent="0.3">
      <c r="D833" s="90"/>
      <c r="F833" s="42"/>
    </row>
    <row r="834" spans="4:6" x14ac:dyDescent="0.3">
      <c r="D834" s="90"/>
      <c r="F834" s="42"/>
    </row>
    <row r="835" spans="4:6" x14ac:dyDescent="0.3">
      <c r="D835" s="90"/>
      <c r="F835" s="42"/>
    </row>
    <row r="836" spans="4:6" x14ac:dyDescent="0.3">
      <c r="D836" s="90"/>
      <c r="F836" s="42"/>
    </row>
    <row r="837" spans="4:6" x14ac:dyDescent="0.3">
      <c r="D837" s="90"/>
      <c r="F837" s="42"/>
    </row>
    <row r="838" spans="4:6" x14ac:dyDescent="0.3">
      <c r="D838" s="90"/>
      <c r="F838" s="42"/>
    </row>
    <row r="839" spans="4:6" x14ac:dyDescent="0.3">
      <c r="D839" s="90"/>
      <c r="F839" s="42"/>
    </row>
    <row r="840" spans="4:6" x14ac:dyDescent="0.3">
      <c r="D840" s="90"/>
      <c r="F840" s="42"/>
    </row>
    <row r="841" spans="4:6" x14ac:dyDescent="0.3">
      <c r="D841" s="90"/>
      <c r="F841" s="42"/>
    </row>
    <row r="842" spans="4:6" x14ac:dyDescent="0.3">
      <c r="D842" s="90"/>
      <c r="F842" s="42"/>
    </row>
    <row r="843" spans="4:6" x14ac:dyDescent="0.3">
      <c r="D843" s="90"/>
      <c r="F843" s="42"/>
    </row>
    <row r="844" spans="4:6" x14ac:dyDescent="0.3">
      <c r="D844" s="90"/>
      <c r="F844" s="42"/>
    </row>
    <row r="845" spans="4:6" x14ac:dyDescent="0.3">
      <c r="D845" s="90"/>
      <c r="F845" s="42"/>
    </row>
    <row r="846" spans="4:6" x14ac:dyDescent="0.3">
      <c r="D846" s="90"/>
      <c r="F846" s="42"/>
    </row>
    <row r="847" spans="4:6" x14ac:dyDescent="0.3">
      <c r="D847" s="90"/>
      <c r="F847" s="42"/>
    </row>
    <row r="848" spans="4:6" x14ac:dyDescent="0.3">
      <c r="D848" s="90"/>
      <c r="F848" s="42"/>
    </row>
    <row r="849" spans="4:6" x14ac:dyDescent="0.3">
      <c r="D849" s="90"/>
      <c r="F849" s="42"/>
    </row>
    <row r="850" spans="4:6" x14ac:dyDescent="0.3">
      <c r="D850" s="90"/>
      <c r="F850" s="42"/>
    </row>
    <row r="851" spans="4:6" x14ac:dyDescent="0.3">
      <c r="D851" s="90"/>
      <c r="F851" s="42"/>
    </row>
    <row r="852" spans="4:6" x14ac:dyDescent="0.3">
      <c r="D852" s="90"/>
      <c r="F852" s="42"/>
    </row>
    <row r="853" spans="4:6" x14ac:dyDescent="0.3">
      <c r="D853" s="90"/>
      <c r="F853" s="42"/>
    </row>
    <row r="854" spans="4:6" x14ac:dyDescent="0.3">
      <c r="D854" s="90"/>
      <c r="F854" s="42"/>
    </row>
    <row r="855" spans="4:6" x14ac:dyDescent="0.3">
      <c r="D855" s="90"/>
      <c r="F855" s="42"/>
    </row>
    <row r="856" spans="4:6" x14ac:dyDescent="0.3">
      <c r="D856" s="90"/>
      <c r="F856" s="42"/>
    </row>
    <row r="857" spans="4:6" x14ac:dyDescent="0.3">
      <c r="D857" s="90"/>
      <c r="F857" s="42"/>
    </row>
    <row r="858" spans="4:6" x14ac:dyDescent="0.3">
      <c r="D858" s="90"/>
      <c r="F858" s="42"/>
    </row>
    <row r="859" spans="4:6" x14ac:dyDescent="0.3">
      <c r="D859" s="90"/>
      <c r="F859" s="42"/>
    </row>
    <row r="860" spans="4:6" x14ac:dyDescent="0.3">
      <c r="D860" s="90"/>
      <c r="F860" s="42"/>
    </row>
    <row r="861" spans="4:6" x14ac:dyDescent="0.3">
      <c r="D861" s="90"/>
      <c r="F861" s="42"/>
    </row>
    <row r="862" spans="4:6" x14ac:dyDescent="0.3">
      <c r="D862" s="90"/>
      <c r="F862" s="42"/>
    </row>
    <row r="863" spans="4:6" x14ac:dyDescent="0.3">
      <c r="D863" s="90"/>
      <c r="F863" s="42"/>
    </row>
    <row r="864" spans="4:6" x14ac:dyDescent="0.3">
      <c r="D864" s="90"/>
      <c r="F864" s="42"/>
    </row>
    <row r="865" spans="4:6" x14ac:dyDescent="0.3">
      <c r="D865" s="90"/>
      <c r="F865" s="42"/>
    </row>
    <row r="866" spans="4:6" x14ac:dyDescent="0.3">
      <c r="D866" s="90"/>
      <c r="F866" s="42"/>
    </row>
    <row r="867" spans="4:6" x14ac:dyDescent="0.3">
      <c r="D867" s="90"/>
      <c r="F867" s="42"/>
    </row>
    <row r="868" spans="4:6" x14ac:dyDescent="0.3">
      <c r="D868" s="90"/>
      <c r="F868" s="42"/>
    </row>
    <row r="869" spans="4:6" x14ac:dyDescent="0.3">
      <c r="D869" s="90"/>
      <c r="F869" s="42"/>
    </row>
    <row r="870" spans="4:6" x14ac:dyDescent="0.3">
      <c r="D870" s="90"/>
      <c r="F870" s="42"/>
    </row>
    <row r="871" spans="4:6" x14ac:dyDescent="0.3">
      <c r="D871" s="90"/>
      <c r="F871" s="42"/>
    </row>
    <row r="872" spans="4:6" x14ac:dyDescent="0.3">
      <c r="D872" s="90"/>
      <c r="F872" s="42"/>
    </row>
    <row r="873" spans="4:6" x14ac:dyDescent="0.3">
      <c r="D873" s="90"/>
      <c r="F873" s="42"/>
    </row>
    <row r="874" spans="4:6" x14ac:dyDescent="0.3">
      <c r="D874" s="90"/>
      <c r="F874" s="42"/>
    </row>
    <row r="875" spans="4:6" x14ac:dyDescent="0.3">
      <c r="D875" s="90"/>
      <c r="F875" s="42"/>
    </row>
    <row r="876" spans="4:6" x14ac:dyDescent="0.3">
      <c r="D876" s="90"/>
      <c r="F876" s="42"/>
    </row>
    <row r="877" spans="4:6" x14ac:dyDescent="0.3">
      <c r="D877" s="90"/>
      <c r="F877" s="42"/>
    </row>
    <row r="878" spans="4:6" x14ac:dyDescent="0.3">
      <c r="D878" s="90"/>
      <c r="F878" s="42"/>
    </row>
    <row r="879" spans="4:6" x14ac:dyDescent="0.3">
      <c r="D879" s="90"/>
      <c r="F879" s="42"/>
    </row>
    <row r="880" spans="4:6" x14ac:dyDescent="0.3">
      <c r="D880" s="90"/>
      <c r="F880" s="42"/>
    </row>
    <row r="881" spans="4:6" x14ac:dyDescent="0.3">
      <c r="D881" s="90"/>
      <c r="F881" s="42"/>
    </row>
    <row r="882" spans="4:6" x14ac:dyDescent="0.3">
      <c r="D882" s="90"/>
      <c r="F882" s="42"/>
    </row>
    <row r="883" spans="4:6" x14ac:dyDescent="0.3">
      <c r="D883" s="90"/>
      <c r="F883" s="42"/>
    </row>
    <row r="884" spans="4:6" x14ac:dyDescent="0.3">
      <c r="D884" s="90"/>
      <c r="F884" s="42"/>
    </row>
    <row r="885" spans="4:6" x14ac:dyDescent="0.3">
      <c r="D885" s="90"/>
      <c r="F885" s="42"/>
    </row>
    <row r="886" spans="4:6" x14ac:dyDescent="0.3">
      <c r="D886" s="90"/>
      <c r="F886" s="42"/>
    </row>
    <row r="887" spans="4:6" x14ac:dyDescent="0.3">
      <c r="D887" s="90"/>
      <c r="F887" s="42"/>
    </row>
    <row r="888" spans="4:6" x14ac:dyDescent="0.3">
      <c r="D888" s="90"/>
      <c r="F888" s="42"/>
    </row>
    <row r="889" spans="4:6" x14ac:dyDescent="0.3">
      <c r="D889" s="90"/>
      <c r="F889" s="42"/>
    </row>
    <row r="890" spans="4:6" x14ac:dyDescent="0.3">
      <c r="D890" s="90"/>
      <c r="F890" s="42"/>
    </row>
    <row r="891" spans="4:6" x14ac:dyDescent="0.3">
      <c r="D891" s="90"/>
      <c r="F891" s="42"/>
    </row>
    <row r="892" spans="4:6" x14ac:dyDescent="0.3">
      <c r="D892" s="90"/>
      <c r="F892" s="42"/>
    </row>
    <row r="893" spans="4:6" x14ac:dyDescent="0.3">
      <c r="D893" s="90"/>
      <c r="F893" s="42"/>
    </row>
    <row r="894" spans="4:6" x14ac:dyDescent="0.3">
      <c r="D894" s="90"/>
      <c r="F894" s="42"/>
    </row>
    <row r="895" spans="4:6" x14ac:dyDescent="0.3">
      <c r="D895" s="90"/>
      <c r="F895" s="42"/>
    </row>
    <row r="896" spans="4:6" x14ac:dyDescent="0.3">
      <c r="D896" s="90"/>
      <c r="F896" s="42"/>
    </row>
    <row r="897" spans="4:6" x14ac:dyDescent="0.3">
      <c r="D897" s="90"/>
      <c r="F897" s="42"/>
    </row>
    <row r="898" spans="4:6" x14ac:dyDescent="0.3">
      <c r="D898" s="90"/>
      <c r="F898" s="42"/>
    </row>
    <row r="899" spans="4:6" x14ac:dyDescent="0.3">
      <c r="D899" s="90"/>
      <c r="F899" s="42"/>
    </row>
    <row r="900" spans="4:6" x14ac:dyDescent="0.3">
      <c r="D900" s="90"/>
      <c r="F900" s="42"/>
    </row>
    <row r="901" spans="4:6" x14ac:dyDescent="0.3">
      <c r="D901" s="90"/>
      <c r="F901" s="42"/>
    </row>
    <row r="902" spans="4:6" x14ac:dyDescent="0.3">
      <c r="D902" s="90"/>
      <c r="F902" s="42"/>
    </row>
    <row r="903" spans="4:6" x14ac:dyDescent="0.3">
      <c r="D903" s="90"/>
      <c r="F903" s="42"/>
    </row>
    <row r="904" spans="4:6" x14ac:dyDescent="0.3">
      <c r="D904" s="90"/>
      <c r="F904" s="42"/>
    </row>
    <row r="905" spans="4:6" x14ac:dyDescent="0.3">
      <c r="D905" s="90"/>
      <c r="F905" s="42"/>
    </row>
    <row r="906" spans="4:6" x14ac:dyDescent="0.3">
      <c r="D906" s="90"/>
      <c r="F906" s="42"/>
    </row>
    <row r="907" spans="4:6" x14ac:dyDescent="0.3">
      <c r="D907" s="90"/>
      <c r="F907" s="42"/>
    </row>
    <row r="908" spans="4:6" x14ac:dyDescent="0.3">
      <c r="D908" s="90"/>
      <c r="F908" s="42"/>
    </row>
    <row r="909" spans="4:6" x14ac:dyDescent="0.3">
      <c r="D909" s="90"/>
      <c r="F909" s="42"/>
    </row>
    <row r="910" spans="4:6" x14ac:dyDescent="0.3">
      <c r="D910" s="90"/>
      <c r="F910" s="42"/>
    </row>
    <row r="911" spans="4:6" x14ac:dyDescent="0.3">
      <c r="D911" s="90"/>
      <c r="F911" s="42"/>
    </row>
    <row r="912" spans="4:6" x14ac:dyDescent="0.3">
      <c r="D912" s="90"/>
      <c r="F912" s="42"/>
    </row>
    <row r="913" spans="4:6" x14ac:dyDescent="0.3">
      <c r="D913" s="90"/>
      <c r="F913" s="42"/>
    </row>
    <row r="914" spans="4:6" x14ac:dyDescent="0.3">
      <c r="D914" s="90"/>
      <c r="F914" s="42"/>
    </row>
    <row r="915" spans="4:6" x14ac:dyDescent="0.3">
      <c r="D915" s="90"/>
      <c r="F915" s="42"/>
    </row>
    <row r="916" spans="4:6" x14ac:dyDescent="0.3">
      <c r="D916" s="90"/>
      <c r="F916" s="42"/>
    </row>
    <row r="917" spans="4:6" x14ac:dyDescent="0.3">
      <c r="D917" s="90"/>
      <c r="F917" s="42"/>
    </row>
    <row r="918" spans="4:6" x14ac:dyDescent="0.3">
      <c r="D918" s="90"/>
      <c r="F918" s="42"/>
    </row>
    <row r="919" spans="4:6" x14ac:dyDescent="0.3">
      <c r="D919" s="90"/>
      <c r="F919" s="42"/>
    </row>
    <row r="920" spans="4:6" x14ac:dyDescent="0.3">
      <c r="D920" s="90"/>
      <c r="F920" s="42"/>
    </row>
    <row r="921" spans="4:6" x14ac:dyDescent="0.3">
      <c r="D921" s="90"/>
      <c r="F921" s="42"/>
    </row>
    <row r="922" spans="4:6" x14ac:dyDescent="0.3">
      <c r="D922" s="90"/>
      <c r="F922" s="42"/>
    </row>
    <row r="923" spans="4:6" x14ac:dyDescent="0.3">
      <c r="D923" s="90"/>
      <c r="F923" s="42"/>
    </row>
    <row r="924" spans="4:6" x14ac:dyDescent="0.3">
      <c r="D924" s="90"/>
      <c r="F924" s="42"/>
    </row>
    <row r="925" spans="4:6" x14ac:dyDescent="0.3">
      <c r="D925" s="90"/>
      <c r="F925" s="42"/>
    </row>
    <row r="926" spans="4:6" x14ac:dyDescent="0.3">
      <c r="D926" s="90"/>
      <c r="F926" s="42"/>
    </row>
    <row r="927" spans="4:6" x14ac:dyDescent="0.3">
      <c r="D927" s="90"/>
      <c r="F927" s="42"/>
    </row>
    <row r="928" spans="4:6" x14ac:dyDescent="0.3">
      <c r="D928" s="90"/>
      <c r="F928" s="42"/>
    </row>
    <row r="929" spans="4:6" x14ac:dyDescent="0.3">
      <c r="D929" s="90"/>
      <c r="F929" s="42"/>
    </row>
    <row r="930" spans="4:6" x14ac:dyDescent="0.3">
      <c r="D930" s="90"/>
      <c r="F930" s="42"/>
    </row>
    <row r="931" spans="4:6" x14ac:dyDescent="0.3">
      <c r="D931" s="90"/>
      <c r="F931" s="42"/>
    </row>
    <row r="932" spans="4:6" x14ac:dyDescent="0.3">
      <c r="D932" s="90"/>
      <c r="F932" s="42"/>
    </row>
    <row r="933" spans="4:6" x14ac:dyDescent="0.3">
      <c r="D933" s="90"/>
      <c r="F933" s="42"/>
    </row>
    <row r="934" spans="4:6" x14ac:dyDescent="0.3">
      <c r="D934" s="90"/>
      <c r="F934" s="42"/>
    </row>
    <row r="935" spans="4:6" x14ac:dyDescent="0.3">
      <c r="D935" s="90"/>
      <c r="F935" s="42"/>
    </row>
    <row r="936" spans="4:6" x14ac:dyDescent="0.3">
      <c r="D936" s="90"/>
      <c r="F936" s="42"/>
    </row>
    <row r="937" spans="4:6" x14ac:dyDescent="0.3">
      <c r="D937" s="90"/>
      <c r="F937" s="42"/>
    </row>
    <row r="938" spans="4:6" x14ac:dyDescent="0.3">
      <c r="D938" s="90"/>
      <c r="F938" s="42"/>
    </row>
    <row r="939" spans="4:6" x14ac:dyDescent="0.3">
      <c r="D939" s="90"/>
      <c r="F939" s="42"/>
    </row>
    <row r="940" spans="4:6" x14ac:dyDescent="0.3">
      <c r="D940" s="90"/>
      <c r="F940" s="42"/>
    </row>
    <row r="941" spans="4:6" x14ac:dyDescent="0.3">
      <c r="D941" s="90"/>
      <c r="F941" s="42"/>
    </row>
    <row r="942" spans="4:6" x14ac:dyDescent="0.3">
      <c r="D942" s="90"/>
      <c r="F942" s="42"/>
    </row>
    <row r="943" spans="4:6" x14ac:dyDescent="0.3">
      <c r="D943" s="90"/>
      <c r="F943" s="42"/>
    </row>
    <row r="944" spans="4:6" x14ac:dyDescent="0.3">
      <c r="D944" s="90"/>
      <c r="F944" s="42"/>
    </row>
    <row r="945" spans="4:6" x14ac:dyDescent="0.3">
      <c r="D945" s="90"/>
      <c r="F945" s="42"/>
    </row>
    <row r="946" spans="4:6" x14ac:dyDescent="0.3">
      <c r="D946" s="90"/>
      <c r="F946" s="42"/>
    </row>
    <row r="947" spans="4:6" x14ac:dyDescent="0.3">
      <c r="D947" s="90"/>
      <c r="F947" s="42"/>
    </row>
    <row r="948" spans="4:6" x14ac:dyDescent="0.3">
      <c r="D948" s="90"/>
      <c r="F948" s="42"/>
    </row>
    <row r="949" spans="4:6" x14ac:dyDescent="0.3">
      <c r="D949" s="90"/>
      <c r="F949" s="42"/>
    </row>
    <row r="950" spans="4:6" x14ac:dyDescent="0.3">
      <c r="D950" s="90"/>
      <c r="F950" s="42"/>
    </row>
    <row r="951" spans="4:6" x14ac:dyDescent="0.3">
      <c r="D951" s="90"/>
      <c r="F951" s="42"/>
    </row>
    <row r="952" spans="4:6" x14ac:dyDescent="0.3">
      <c r="D952" s="90"/>
      <c r="F952" s="42"/>
    </row>
    <row r="953" spans="4:6" x14ac:dyDescent="0.3">
      <c r="D953" s="90"/>
      <c r="F953" s="42"/>
    </row>
    <row r="954" spans="4:6" x14ac:dyDescent="0.3">
      <c r="D954" s="90"/>
      <c r="F954" s="42"/>
    </row>
    <row r="955" spans="4:6" x14ac:dyDescent="0.3">
      <c r="D955" s="90"/>
      <c r="F955" s="42"/>
    </row>
    <row r="956" spans="4:6" x14ac:dyDescent="0.3">
      <c r="D956" s="90"/>
      <c r="F956" s="42"/>
    </row>
    <row r="957" spans="4:6" x14ac:dyDescent="0.3">
      <c r="D957" s="90"/>
      <c r="F957" s="42"/>
    </row>
    <row r="958" spans="4:6" x14ac:dyDescent="0.3">
      <c r="D958" s="90"/>
      <c r="F958" s="42"/>
    </row>
    <row r="959" spans="4:6" x14ac:dyDescent="0.3">
      <c r="D959" s="90"/>
      <c r="F959" s="42"/>
    </row>
    <row r="960" spans="4:6" x14ac:dyDescent="0.3">
      <c r="D960" s="90"/>
      <c r="F960" s="42"/>
    </row>
    <row r="961" spans="4:6" x14ac:dyDescent="0.3">
      <c r="D961" s="90"/>
      <c r="F961" s="42"/>
    </row>
    <row r="962" spans="4:6" x14ac:dyDescent="0.3">
      <c r="D962" s="90"/>
      <c r="F962" s="42"/>
    </row>
    <row r="963" spans="4:6" x14ac:dyDescent="0.3">
      <c r="D963" s="90"/>
      <c r="F963" s="42"/>
    </row>
    <row r="964" spans="4:6" x14ac:dyDescent="0.3">
      <c r="D964" s="90"/>
      <c r="F964" s="42"/>
    </row>
    <row r="965" spans="4:6" x14ac:dyDescent="0.3">
      <c r="D965" s="90"/>
      <c r="F965" s="42"/>
    </row>
    <row r="966" spans="4:6" x14ac:dyDescent="0.3">
      <c r="D966" s="90"/>
      <c r="F966" s="42"/>
    </row>
    <row r="967" spans="4:6" x14ac:dyDescent="0.3">
      <c r="D967" s="90"/>
      <c r="F967" s="42"/>
    </row>
    <row r="968" spans="4:6" x14ac:dyDescent="0.3">
      <c r="D968" s="90"/>
      <c r="F968" s="42"/>
    </row>
    <row r="969" spans="4:6" x14ac:dyDescent="0.3">
      <c r="D969" s="90"/>
      <c r="F969" s="42"/>
    </row>
    <row r="970" spans="4:6" x14ac:dyDescent="0.3">
      <c r="D970" s="90"/>
      <c r="F970" s="42"/>
    </row>
    <row r="971" spans="4:6" x14ac:dyDescent="0.3">
      <c r="D971" s="90"/>
      <c r="F971" s="42"/>
    </row>
    <row r="972" spans="4:6" x14ac:dyDescent="0.3">
      <c r="D972" s="90"/>
      <c r="F972" s="42"/>
    </row>
    <row r="973" spans="4:6" x14ac:dyDescent="0.3">
      <c r="D973" s="90"/>
      <c r="F973" s="42"/>
    </row>
    <row r="974" spans="4:6" x14ac:dyDescent="0.3">
      <c r="D974" s="90"/>
      <c r="F974" s="42"/>
    </row>
    <row r="975" spans="4:6" x14ac:dyDescent="0.3">
      <c r="D975" s="90"/>
      <c r="F975" s="42"/>
    </row>
    <row r="976" spans="4:6" x14ac:dyDescent="0.3">
      <c r="D976" s="90"/>
      <c r="F976" s="42"/>
    </row>
    <row r="977" spans="4:6" x14ac:dyDescent="0.3">
      <c r="D977" s="90"/>
      <c r="F977" s="42"/>
    </row>
    <row r="978" spans="4:6" x14ac:dyDescent="0.3">
      <c r="D978" s="90"/>
      <c r="F978" s="42"/>
    </row>
    <row r="979" spans="4:6" x14ac:dyDescent="0.3">
      <c r="D979" s="90"/>
      <c r="F979" s="42"/>
    </row>
    <row r="980" spans="4:6" x14ac:dyDescent="0.3">
      <c r="D980" s="90"/>
      <c r="F980" s="42"/>
    </row>
  </sheetData>
  <mergeCells count="24">
    <mergeCell ref="B40:E40"/>
    <mergeCell ref="O40:S40"/>
    <mergeCell ref="A29:A31"/>
    <mergeCell ref="B29:B31"/>
    <mergeCell ref="A34:D34"/>
    <mergeCell ref="O35:S35"/>
    <mergeCell ref="O36:S36"/>
    <mergeCell ref="B37:E37"/>
    <mergeCell ref="O37:S37"/>
    <mergeCell ref="E8:F8"/>
    <mergeCell ref="E9:F9"/>
    <mergeCell ref="V10:V24"/>
    <mergeCell ref="A11:A13"/>
    <mergeCell ref="B11:B13"/>
    <mergeCell ref="A15:A27"/>
    <mergeCell ref="B15:B27"/>
    <mergeCell ref="A1:S1"/>
    <mergeCell ref="A6:A7"/>
    <mergeCell ref="B6:B7"/>
    <mergeCell ref="C6:C7"/>
    <mergeCell ref="D6:D7"/>
    <mergeCell ref="E6:F7"/>
    <mergeCell ref="G6:R6"/>
    <mergeCell ref="S6:S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13</vt:i4>
      </vt:variant>
    </vt:vector>
  </HeadingPairs>
  <TitlesOfParts>
    <vt:vector size="21" baseType="lpstr">
      <vt:lpstr>CARIK</vt:lpstr>
      <vt:lpstr>KAMITUWA</vt:lpstr>
      <vt:lpstr>DAnarta</vt:lpstr>
      <vt:lpstr>ULU-ULU</vt:lpstr>
      <vt:lpstr>JAGABAYA</vt:lpstr>
      <vt:lpstr>PALAPA</vt:lpstr>
      <vt:lpstr>DUKUH</vt:lpstr>
      <vt:lpstr>STAF</vt:lpstr>
      <vt:lpstr>DAnarta!Print_Area</vt:lpstr>
      <vt:lpstr>DUKUH!Print_Area</vt:lpstr>
      <vt:lpstr>JAGABAYA!Print_Area</vt:lpstr>
      <vt:lpstr>KAMITUWA!Print_Area</vt:lpstr>
      <vt:lpstr>PALAPA!Print_Area</vt:lpstr>
      <vt:lpstr>'ULU-ULU'!Print_Area</vt:lpstr>
      <vt:lpstr>CARIK!Print_Titles</vt:lpstr>
      <vt:lpstr>DAnarta!Print_Titles</vt:lpstr>
      <vt:lpstr>DUKUH!Print_Titles</vt:lpstr>
      <vt:lpstr>JAGABAYA!Print_Titles</vt:lpstr>
      <vt:lpstr>KAMITUWA!Print_Titles</vt:lpstr>
      <vt:lpstr>PALAPA!Print_Titles</vt:lpstr>
      <vt:lpstr>'ULU-ULU'!Print_Titles</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 5</dc:creator>
  <cp:lastModifiedBy>Viki Danarta</cp:lastModifiedBy>
  <cp:lastPrinted>2026-09-01T03:22:51Z</cp:lastPrinted>
  <dcterms:created xsi:type="dcterms:W3CDTF">2023-01-03T05:11:47Z</dcterms:created>
  <dcterms:modified xsi:type="dcterms:W3CDTF">2026-09-01T06:21:59Z</dcterms:modified>
</cp:coreProperties>
</file>