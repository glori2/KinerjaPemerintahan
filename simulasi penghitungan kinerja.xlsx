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KALIDENGEN CLOUD\PAMONG CARIK MUSTOFA\Tahun 2026\BAHAN TUKIN\TUKIN JANTEN\"/>
    </mc:Choice>
  </mc:AlternateContent>
  <xr:revisionPtr revIDLastSave="0" documentId="13_ncr:1_{4B27FD76-9721-431B-ABB9-8507996AFB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si perhitungan" sheetId="1" r:id="rId1"/>
  </sheets>
  <definedNames>
    <definedName name="_xlnm.Print_Area" localSheetId="0">'simulasi perhitungan'!$A$1:$K$28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U7" i="1"/>
  <c r="U8" i="1"/>
  <c r="U9" i="1"/>
  <c r="U10" i="1"/>
  <c r="U11" i="1"/>
  <c r="E11" i="1" s="1"/>
  <c r="U12" i="1"/>
  <c r="U13" i="1"/>
  <c r="U14" i="1"/>
  <c r="E14" i="1" s="1"/>
  <c r="U15" i="1"/>
  <c r="U16" i="1"/>
  <c r="U17" i="1"/>
  <c r="U18" i="1"/>
  <c r="U19" i="1"/>
  <c r="U20" i="1"/>
  <c r="U21" i="1"/>
  <c r="U22" i="1"/>
  <c r="U23" i="1"/>
  <c r="U24" i="1"/>
  <c r="U6" i="1"/>
  <c r="E6" i="1" s="1"/>
  <c r="E15" i="1"/>
  <c r="E10" i="1"/>
  <c r="T6" i="1"/>
  <c r="V6" i="1" s="1"/>
  <c r="T7" i="1"/>
  <c r="T8" i="1"/>
  <c r="T9" i="1"/>
  <c r="T10" i="1"/>
  <c r="T11" i="1"/>
  <c r="T12" i="1"/>
  <c r="E7" i="1"/>
  <c r="E8" i="1"/>
  <c r="E9" i="1"/>
  <c r="F20" i="1"/>
  <c r="E13" i="1"/>
  <c r="J14" i="1"/>
  <c r="J15" i="1"/>
  <c r="J13" i="1"/>
  <c r="J9" i="1"/>
  <c r="J10" i="1"/>
  <c r="J11" i="1"/>
  <c r="J12" i="1"/>
  <c r="J8" i="1"/>
  <c r="J7" i="1"/>
  <c r="J6" i="1"/>
  <c r="E12" i="1"/>
  <c r="K22" i="1"/>
  <c r="AA460" i="1"/>
  <c r="V428" i="1"/>
  <c r="U428" i="1"/>
  <c r="V427" i="1"/>
  <c r="U427" i="1"/>
  <c r="V426" i="1"/>
  <c r="U426" i="1"/>
  <c r="J426" i="1"/>
  <c r="V425" i="1"/>
  <c r="U425" i="1"/>
  <c r="K425" i="1"/>
  <c r="G425" i="1"/>
  <c r="V424" i="1"/>
  <c r="U424" i="1"/>
  <c r="K424" i="1"/>
  <c r="G424" i="1"/>
  <c r="V423" i="1"/>
  <c r="U423" i="1"/>
  <c r="K423" i="1"/>
  <c r="G423" i="1"/>
  <c r="V422" i="1"/>
  <c r="U422" i="1"/>
  <c r="K422" i="1"/>
  <c r="G422" i="1"/>
  <c r="V421" i="1"/>
  <c r="U421" i="1"/>
  <c r="K421" i="1"/>
  <c r="G421" i="1"/>
  <c r="V420" i="1"/>
  <c r="U420" i="1"/>
  <c r="K420" i="1"/>
  <c r="G420" i="1"/>
  <c r="V419" i="1"/>
  <c r="U419" i="1"/>
  <c r="K419" i="1"/>
  <c r="G419" i="1"/>
  <c r="V418" i="1"/>
  <c r="U418" i="1"/>
  <c r="K418" i="1"/>
  <c r="G418" i="1"/>
  <c r="V417" i="1"/>
  <c r="U417" i="1"/>
  <c r="K417" i="1"/>
  <c r="G417" i="1"/>
  <c r="V416" i="1"/>
  <c r="U416" i="1"/>
  <c r="K416" i="1"/>
  <c r="G416" i="1"/>
  <c r="V415" i="1"/>
  <c r="U415" i="1"/>
  <c r="K415" i="1"/>
  <c r="G415" i="1"/>
  <c r="K414" i="1"/>
  <c r="G414" i="1"/>
  <c r="K413" i="1"/>
  <c r="G413" i="1"/>
  <c r="K412" i="1"/>
  <c r="G412" i="1"/>
  <c r="V384" i="1"/>
  <c r="U384" i="1"/>
  <c r="V383" i="1"/>
  <c r="U383" i="1"/>
  <c r="V382" i="1"/>
  <c r="U382" i="1"/>
  <c r="J382" i="1"/>
  <c r="V381" i="1"/>
  <c r="U381" i="1"/>
  <c r="K381" i="1"/>
  <c r="G381" i="1"/>
  <c r="V380" i="1"/>
  <c r="U380" i="1"/>
  <c r="K380" i="1"/>
  <c r="G380" i="1"/>
  <c r="V379" i="1"/>
  <c r="U379" i="1"/>
  <c r="K379" i="1"/>
  <c r="G379" i="1"/>
  <c r="V378" i="1"/>
  <c r="U378" i="1"/>
  <c r="K378" i="1"/>
  <c r="G378" i="1"/>
  <c r="V377" i="1"/>
  <c r="U377" i="1"/>
  <c r="K377" i="1"/>
  <c r="G377" i="1"/>
  <c r="V376" i="1"/>
  <c r="U376" i="1"/>
  <c r="K376" i="1"/>
  <c r="G376" i="1"/>
  <c r="V375" i="1"/>
  <c r="U375" i="1"/>
  <c r="K375" i="1"/>
  <c r="G375" i="1"/>
  <c r="V374" i="1"/>
  <c r="U374" i="1"/>
  <c r="K374" i="1"/>
  <c r="G374" i="1"/>
  <c r="V373" i="1"/>
  <c r="U373" i="1"/>
  <c r="K373" i="1"/>
  <c r="G373" i="1"/>
  <c r="V372" i="1"/>
  <c r="U372" i="1"/>
  <c r="K372" i="1"/>
  <c r="G372" i="1"/>
  <c r="V371" i="1"/>
  <c r="U371" i="1"/>
  <c r="K371" i="1"/>
  <c r="G371" i="1"/>
  <c r="K370" i="1"/>
  <c r="G370" i="1"/>
  <c r="K369" i="1"/>
  <c r="G369" i="1"/>
  <c r="K368" i="1"/>
  <c r="G368" i="1"/>
  <c r="U340" i="1"/>
  <c r="T340" i="1"/>
  <c r="V340" i="1" s="1"/>
  <c r="U339" i="1"/>
  <c r="T339" i="1"/>
  <c r="V339" i="1" s="1"/>
  <c r="U338" i="1"/>
  <c r="T338" i="1"/>
  <c r="V338" i="1" s="1"/>
  <c r="W338" i="1" s="1"/>
  <c r="J338" i="1"/>
  <c r="U337" i="1"/>
  <c r="T337" i="1"/>
  <c r="V337" i="1" s="1"/>
  <c r="K337" i="1"/>
  <c r="G337" i="1"/>
  <c r="U336" i="1"/>
  <c r="T336" i="1"/>
  <c r="V336" i="1" s="1"/>
  <c r="K336" i="1"/>
  <c r="G336" i="1"/>
  <c r="U335" i="1"/>
  <c r="T335" i="1"/>
  <c r="V335" i="1" s="1"/>
  <c r="K335" i="1"/>
  <c r="G335" i="1"/>
  <c r="U334" i="1"/>
  <c r="T334" i="1"/>
  <c r="V334" i="1" s="1"/>
  <c r="W334" i="1" s="1"/>
  <c r="K334" i="1"/>
  <c r="G334" i="1"/>
  <c r="U333" i="1"/>
  <c r="T333" i="1"/>
  <c r="V333" i="1" s="1"/>
  <c r="K333" i="1"/>
  <c r="G333" i="1"/>
  <c r="U332" i="1"/>
  <c r="T332" i="1"/>
  <c r="V332" i="1" s="1"/>
  <c r="K332" i="1"/>
  <c r="G332" i="1"/>
  <c r="U331" i="1"/>
  <c r="T331" i="1"/>
  <c r="V331" i="1" s="1"/>
  <c r="K331" i="1"/>
  <c r="G331" i="1"/>
  <c r="U330" i="1"/>
  <c r="T330" i="1"/>
  <c r="V330" i="1" s="1"/>
  <c r="K330" i="1"/>
  <c r="G330" i="1"/>
  <c r="U329" i="1"/>
  <c r="T329" i="1"/>
  <c r="V329" i="1" s="1"/>
  <c r="K329" i="1"/>
  <c r="G329" i="1"/>
  <c r="U328" i="1"/>
  <c r="T328" i="1"/>
  <c r="V328" i="1" s="1"/>
  <c r="K328" i="1"/>
  <c r="G328" i="1"/>
  <c r="U327" i="1"/>
  <c r="T327" i="1"/>
  <c r="V327" i="1" s="1"/>
  <c r="K327" i="1"/>
  <c r="G327" i="1"/>
  <c r="K326" i="1"/>
  <c r="G326" i="1"/>
  <c r="K325" i="1"/>
  <c r="G325" i="1"/>
  <c r="K324" i="1"/>
  <c r="G324" i="1"/>
  <c r="U294" i="1"/>
  <c r="U292" i="1"/>
  <c r="T292" i="1"/>
  <c r="V292" i="1" s="1"/>
  <c r="U291" i="1"/>
  <c r="T291" i="1"/>
  <c r="V291" i="1" s="1"/>
  <c r="U290" i="1"/>
  <c r="T290" i="1"/>
  <c r="V290" i="1" s="1"/>
  <c r="J290" i="1"/>
  <c r="U289" i="1"/>
  <c r="T289" i="1"/>
  <c r="V289" i="1" s="1"/>
  <c r="K289" i="1"/>
  <c r="G289" i="1"/>
  <c r="U288" i="1"/>
  <c r="T288" i="1"/>
  <c r="V288" i="1" s="1"/>
  <c r="K288" i="1"/>
  <c r="G288" i="1"/>
  <c r="U287" i="1"/>
  <c r="T287" i="1"/>
  <c r="V287" i="1" s="1"/>
  <c r="K287" i="1"/>
  <c r="G287" i="1"/>
  <c r="U286" i="1"/>
  <c r="T286" i="1"/>
  <c r="V286" i="1" s="1"/>
  <c r="K286" i="1"/>
  <c r="G286" i="1"/>
  <c r="U285" i="1"/>
  <c r="T285" i="1"/>
  <c r="V285" i="1" s="1"/>
  <c r="K285" i="1"/>
  <c r="G285" i="1"/>
  <c r="U284" i="1"/>
  <c r="T284" i="1"/>
  <c r="V284" i="1" s="1"/>
  <c r="K284" i="1"/>
  <c r="G284" i="1"/>
  <c r="U283" i="1"/>
  <c r="T283" i="1"/>
  <c r="V283" i="1" s="1"/>
  <c r="K283" i="1"/>
  <c r="G283" i="1"/>
  <c r="U282" i="1"/>
  <c r="T282" i="1"/>
  <c r="V282" i="1" s="1"/>
  <c r="K282" i="1"/>
  <c r="G282" i="1"/>
  <c r="U281" i="1"/>
  <c r="T281" i="1"/>
  <c r="V281" i="1" s="1"/>
  <c r="K281" i="1"/>
  <c r="G281" i="1"/>
  <c r="U280" i="1"/>
  <c r="T280" i="1"/>
  <c r="V280" i="1" s="1"/>
  <c r="K280" i="1"/>
  <c r="G280" i="1"/>
  <c r="U279" i="1"/>
  <c r="T279" i="1"/>
  <c r="V279" i="1" s="1"/>
  <c r="K279" i="1"/>
  <c r="G279" i="1"/>
  <c r="G278" i="1"/>
  <c r="K277" i="1"/>
  <c r="G277" i="1"/>
  <c r="K276" i="1"/>
  <c r="G276" i="1"/>
  <c r="U261" i="1"/>
  <c r="T261" i="1"/>
  <c r="V261" i="1" s="1"/>
  <c r="U260" i="1"/>
  <c r="T260" i="1"/>
  <c r="V260" i="1" s="1"/>
  <c r="T259" i="1"/>
  <c r="V259" i="1" s="1"/>
  <c r="S259" i="1"/>
  <c r="U259" i="1" s="1"/>
  <c r="U258" i="1"/>
  <c r="T258" i="1"/>
  <c r="V258" i="1" s="1"/>
  <c r="J258" i="1"/>
  <c r="U257" i="1"/>
  <c r="T257" i="1"/>
  <c r="V257" i="1" s="1"/>
  <c r="K257" i="1"/>
  <c r="G257" i="1"/>
  <c r="U256" i="1"/>
  <c r="T256" i="1"/>
  <c r="V256" i="1" s="1"/>
  <c r="K256" i="1"/>
  <c r="G256" i="1"/>
  <c r="U255" i="1"/>
  <c r="T255" i="1"/>
  <c r="V255" i="1" s="1"/>
  <c r="W255" i="1" s="1"/>
  <c r="K255" i="1"/>
  <c r="G255" i="1"/>
  <c r="U254" i="1"/>
  <c r="T254" i="1"/>
  <c r="V254" i="1" s="1"/>
  <c r="K254" i="1"/>
  <c r="G254" i="1"/>
  <c r="U253" i="1"/>
  <c r="T253" i="1"/>
  <c r="V253" i="1" s="1"/>
  <c r="K253" i="1"/>
  <c r="G253" i="1"/>
  <c r="U252" i="1"/>
  <c r="T252" i="1"/>
  <c r="V252" i="1" s="1"/>
  <c r="K252" i="1"/>
  <c r="G252" i="1"/>
  <c r="U251" i="1"/>
  <c r="T251" i="1"/>
  <c r="V251" i="1" s="1"/>
  <c r="K251" i="1"/>
  <c r="G251" i="1"/>
  <c r="U250" i="1"/>
  <c r="T250" i="1"/>
  <c r="V250" i="1" s="1"/>
  <c r="K250" i="1"/>
  <c r="G250" i="1"/>
  <c r="U249" i="1"/>
  <c r="T249" i="1"/>
  <c r="V249" i="1" s="1"/>
  <c r="K249" i="1"/>
  <c r="G249" i="1"/>
  <c r="U248" i="1"/>
  <c r="T248" i="1"/>
  <c r="V248" i="1" s="1"/>
  <c r="K248" i="1"/>
  <c r="G248" i="1"/>
  <c r="U247" i="1"/>
  <c r="T247" i="1"/>
  <c r="V247" i="1" s="1"/>
  <c r="K247" i="1"/>
  <c r="G247" i="1"/>
  <c r="K246" i="1"/>
  <c r="G246" i="1"/>
  <c r="K245" i="1"/>
  <c r="G245" i="1"/>
  <c r="K244" i="1"/>
  <c r="G244" i="1"/>
  <c r="S220" i="1"/>
  <c r="U217" i="1"/>
  <c r="T217" i="1"/>
  <c r="V217" i="1" s="1"/>
  <c r="U216" i="1"/>
  <c r="T216" i="1"/>
  <c r="V216" i="1" s="1"/>
  <c r="U215" i="1"/>
  <c r="T215" i="1"/>
  <c r="V215" i="1" s="1"/>
  <c r="U214" i="1"/>
  <c r="T214" i="1"/>
  <c r="V214" i="1" s="1"/>
  <c r="J214" i="1"/>
  <c r="U213" i="1"/>
  <c r="T213" i="1"/>
  <c r="V213" i="1" s="1"/>
  <c r="K213" i="1"/>
  <c r="G213" i="1"/>
  <c r="U212" i="1"/>
  <c r="T212" i="1"/>
  <c r="V212" i="1" s="1"/>
  <c r="K212" i="1"/>
  <c r="G212" i="1"/>
  <c r="U211" i="1"/>
  <c r="T211" i="1"/>
  <c r="V211" i="1" s="1"/>
  <c r="K211" i="1"/>
  <c r="G211" i="1"/>
  <c r="U210" i="1"/>
  <c r="T210" i="1"/>
  <c r="V210" i="1" s="1"/>
  <c r="K210" i="1"/>
  <c r="G210" i="1"/>
  <c r="U209" i="1"/>
  <c r="T209" i="1"/>
  <c r="V209" i="1" s="1"/>
  <c r="K209" i="1"/>
  <c r="G209" i="1"/>
  <c r="U208" i="1"/>
  <c r="T208" i="1"/>
  <c r="V208" i="1" s="1"/>
  <c r="K208" i="1"/>
  <c r="G208" i="1"/>
  <c r="U207" i="1"/>
  <c r="T207" i="1"/>
  <c r="V207" i="1" s="1"/>
  <c r="K207" i="1"/>
  <c r="G207" i="1"/>
  <c r="U206" i="1"/>
  <c r="T206" i="1"/>
  <c r="V206" i="1" s="1"/>
  <c r="K206" i="1"/>
  <c r="G206" i="1"/>
  <c r="U205" i="1"/>
  <c r="T205" i="1"/>
  <c r="V205" i="1" s="1"/>
  <c r="K205" i="1"/>
  <c r="G205" i="1"/>
  <c r="U204" i="1"/>
  <c r="T204" i="1"/>
  <c r="V204" i="1" s="1"/>
  <c r="W204" i="1" s="1"/>
  <c r="K204" i="1"/>
  <c r="G204" i="1"/>
  <c r="U203" i="1"/>
  <c r="T203" i="1"/>
  <c r="V203" i="1" s="1"/>
  <c r="K203" i="1"/>
  <c r="G203" i="1"/>
  <c r="K202" i="1"/>
  <c r="G202" i="1"/>
  <c r="K201" i="1"/>
  <c r="G201" i="1"/>
  <c r="K200" i="1"/>
  <c r="G200" i="1"/>
  <c r="U179" i="1"/>
  <c r="T179" i="1"/>
  <c r="V179" i="1" s="1"/>
  <c r="U178" i="1"/>
  <c r="T178" i="1"/>
  <c r="V178" i="1" s="1"/>
  <c r="U177" i="1"/>
  <c r="T177" i="1"/>
  <c r="V177" i="1" s="1"/>
  <c r="J177" i="1"/>
  <c r="U176" i="1"/>
  <c r="T176" i="1"/>
  <c r="V176" i="1" s="1"/>
  <c r="K176" i="1"/>
  <c r="G176" i="1"/>
  <c r="U175" i="1"/>
  <c r="T175" i="1"/>
  <c r="V175" i="1" s="1"/>
  <c r="K175" i="1"/>
  <c r="G175" i="1"/>
  <c r="U174" i="1"/>
  <c r="T174" i="1"/>
  <c r="V174" i="1" s="1"/>
  <c r="K174" i="1"/>
  <c r="G174" i="1"/>
  <c r="U173" i="1"/>
  <c r="T173" i="1"/>
  <c r="V173" i="1" s="1"/>
  <c r="K173" i="1"/>
  <c r="G173" i="1"/>
  <c r="U172" i="1"/>
  <c r="T172" i="1"/>
  <c r="V172" i="1" s="1"/>
  <c r="K172" i="1"/>
  <c r="G172" i="1"/>
  <c r="U171" i="1"/>
  <c r="T171" i="1"/>
  <c r="V171" i="1" s="1"/>
  <c r="K171" i="1"/>
  <c r="G171" i="1"/>
  <c r="U170" i="1"/>
  <c r="T170" i="1"/>
  <c r="V170" i="1" s="1"/>
  <c r="K170" i="1"/>
  <c r="G170" i="1"/>
  <c r="U169" i="1"/>
  <c r="T169" i="1"/>
  <c r="V169" i="1" s="1"/>
  <c r="K169" i="1"/>
  <c r="G169" i="1"/>
  <c r="U168" i="1"/>
  <c r="T168" i="1"/>
  <c r="V168" i="1" s="1"/>
  <c r="K168" i="1"/>
  <c r="G168" i="1"/>
  <c r="U167" i="1"/>
  <c r="T167" i="1"/>
  <c r="V167" i="1" s="1"/>
  <c r="K167" i="1"/>
  <c r="G167" i="1"/>
  <c r="U166" i="1"/>
  <c r="T166" i="1"/>
  <c r="V166" i="1" s="1"/>
  <c r="K166" i="1"/>
  <c r="G166" i="1"/>
  <c r="K165" i="1"/>
  <c r="G165" i="1"/>
  <c r="K164" i="1"/>
  <c r="G164" i="1"/>
  <c r="K163" i="1"/>
  <c r="G163" i="1"/>
  <c r="U132" i="1"/>
  <c r="J132" i="1"/>
  <c r="U131" i="1"/>
  <c r="T131" i="1"/>
  <c r="V131" i="1" s="1"/>
  <c r="W131" i="1" s="1"/>
  <c r="K131" i="1"/>
  <c r="G131" i="1"/>
  <c r="T130" i="1"/>
  <c r="V130" i="1" s="1"/>
  <c r="S130" i="1"/>
  <c r="U130" i="1" s="1"/>
  <c r="K130" i="1"/>
  <c r="G130" i="1"/>
  <c r="T129" i="1"/>
  <c r="V129" i="1" s="1"/>
  <c r="S129" i="1"/>
  <c r="U129" i="1" s="1"/>
  <c r="K129" i="1"/>
  <c r="G129" i="1"/>
  <c r="T128" i="1"/>
  <c r="V128" i="1" s="1"/>
  <c r="S128" i="1"/>
  <c r="U128" i="1" s="1"/>
  <c r="K128" i="1"/>
  <c r="G128" i="1"/>
  <c r="T127" i="1"/>
  <c r="V127" i="1" s="1"/>
  <c r="S127" i="1"/>
  <c r="U127" i="1" s="1"/>
  <c r="K127" i="1"/>
  <c r="G127" i="1"/>
  <c r="U126" i="1"/>
  <c r="T126" i="1"/>
  <c r="V126" i="1" s="1"/>
  <c r="K126" i="1"/>
  <c r="G126" i="1"/>
  <c r="U125" i="1"/>
  <c r="T125" i="1"/>
  <c r="V125" i="1" s="1"/>
  <c r="K125" i="1"/>
  <c r="G125" i="1"/>
  <c r="U124" i="1"/>
  <c r="T124" i="1"/>
  <c r="V124" i="1" s="1"/>
  <c r="K124" i="1"/>
  <c r="G124" i="1"/>
  <c r="T123" i="1"/>
  <c r="V123" i="1" s="1"/>
  <c r="S123" i="1"/>
  <c r="U123" i="1" s="1"/>
  <c r="K123" i="1"/>
  <c r="G123" i="1"/>
  <c r="U122" i="1"/>
  <c r="T122" i="1"/>
  <c r="V122" i="1" s="1"/>
  <c r="K122" i="1"/>
  <c r="G122" i="1"/>
  <c r="U121" i="1"/>
  <c r="T121" i="1"/>
  <c r="V121" i="1" s="1"/>
  <c r="K121" i="1"/>
  <c r="G121" i="1"/>
  <c r="T120" i="1"/>
  <c r="V120" i="1" s="1"/>
  <c r="S120" i="1"/>
  <c r="U120" i="1" s="1"/>
  <c r="K120" i="1"/>
  <c r="G120" i="1"/>
  <c r="U119" i="1"/>
  <c r="T119" i="1"/>
  <c r="V119" i="1" s="1"/>
  <c r="W119" i="1" s="1"/>
  <c r="K119" i="1"/>
  <c r="G119" i="1"/>
  <c r="U118" i="1"/>
  <c r="T118" i="1"/>
  <c r="V118" i="1" s="1"/>
  <c r="K118" i="1"/>
  <c r="G118" i="1"/>
  <c r="E86" i="1"/>
  <c r="E87" i="1" s="1"/>
  <c r="S85" i="1"/>
  <c r="U85" i="1" s="1"/>
  <c r="U84" i="1"/>
  <c r="S83" i="1"/>
  <c r="U83" i="1" s="1"/>
  <c r="J83" i="1"/>
  <c r="U82" i="1"/>
  <c r="T82" i="1"/>
  <c r="V82" i="1" s="1"/>
  <c r="W82" i="1" s="1"/>
  <c r="K82" i="1"/>
  <c r="G82" i="1"/>
  <c r="T81" i="1"/>
  <c r="V81" i="1" s="1"/>
  <c r="S81" i="1"/>
  <c r="U81" i="1" s="1"/>
  <c r="W81" i="1" s="1"/>
  <c r="K81" i="1"/>
  <c r="G81" i="1"/>
  <c r="T80" i="1"/>
  <c r="V80" i="1" s="1"/>
  <c r="S80" i="1"/>
  <c r="U80" i="1" s="1"/>
  <c r="W80" i="1" s="1"/>
  <c r="K80" i="1"/>
  <c r="G80" i="1"/>
  <c r="T79" i="1"/>
  <c r="V79" i="1" s="1"/>
  <c r="S79" i="1"/>
  <c r="U79" i="1" s="1"/>
  <c r="K79" i="1"/>
  <c r="G79" i="1"/>
  <c r="T78" i="1"/>
  <c r="V78" i="1" s="1"/>
  <c r="S78" i="1"/>
  <c r="K78" i="1"/>
  <c r="G78" i="1"/>
  <c r="U77" i="1"/>
  <c r="T77" i="1"/>
  <c r="V77" i="1" s="1"/>
  <c r="K77" i="1"/>
  <c r="G77" i="1"/>
  <c r="U76" i="1"/>
  <c r="T76" i="1"/>
  <c r="V76" i="1" s="1"/>
  <c r="K76" i="1"/>
  <c r="G76" i="1"/>
  <c r="T75" i="1"/>
  <c r="V75" i="1" s="1"/>
  <c r="S75" i="1"/>
  <c r="U75" i="1" s="1"/>
  <c r="K75" i="1"/>
  <c r="G75" i="1"/>
  <c r="U74" i="1"/>
  <c r="T74" i="1"/>
  <c r="V74" i="1" s="1"/>
  <c r="K74" i="1"/>
  <c r="G74" i="1"/>
  <c r="U73" i="1"/>
  <c r="T73" i="1"/>
  <c r="V73" i="1" s="1"/>
  <c r="K73" i="1"/>
  <c r="G73" i="1"/>
  <c r="U72" i="1"/>
  <c r="T72" i="1"/>
  <c r="V72" i="1" s="1"/>
  <c r="K72" i="1"/>
  <c r="G72" i="1"/>
  <c r="U71" i="1"/>
  <c r="T71" i="1"/>
  <c r="V71" i="1" s="1"/>
  <c r="K71" i="1"/>
  <c r="G71" i="1"/>
  <c r="U70" i="1"/>
  <c r="T70" i="1"/>
  <c r="V70" i="1" s="1"/>
  <c r="K70" i="1"/>
  <c r="G70" i="1"/>
  <c r="U69" i="1"/>
  <c r="T69" i="1"/>
  <c r="V69" i="1" s="1"/>
  <c r="K69" i="1"/>
  <c r="G69" i="1"/>
  <c r="T19" i="1"/>
  <c r="T18" i="1"/>
  <c r="T17" i="1"/>
  <c r="T16" i="1"/>
  <c r="T15" i="1"/>
  <c r="T14" i="1"/>
  <c r="T13" i="1"/>
  <c r="F11" i="1"/>
  <c r="N11" i="1"/>
  <c r="F10" i="1"/>
  <c r="N10" i="1"/>
  <c r="F9" i="1"/>
  <c r="F8" i="1"/>
  <c r="F7" i="1"/>
  <c r="F13" i="1" l="1"/>
  <c r="F15" i="1"/>
  <c r="G15" i="1" s="1"/>
  <c r="G11" i="1"/>
  <c r="W72" i="1"/>
  <c r="W73" i="1"/>
  <c r="W76" i="1"/>
  <c r="W79" i="1"/>
  <c r="W217" i="1"/>
  <c r="G10" i="1"/>
  <c r="G9" i="1"/>
  <c r="G7" i="1"/>
  <c r="G8" i="1"/>
  <c r="W6" i="1"/>
  <c r="F6" i="1"/>
  <c r="G6" i="1" s="1"/>
  <c r="W11" i="1"/>
  <c r="W14" i="1"/>
  <c r="W168" i="1"/>
  <c r="W260" i="1"/>
  <c r="G13" i="1"/>
  <c r="E22" i="1"/>
  <c r="G22" i="1" s="1"/>
  <c r="W125" i="1"/>
  <c r="W259" i="1"/>
  <c r="W330" i="1"/>
  <c r="K426" i="1"/>
  <c r="W16" i="1"/>
  <c r="W212" i="1"/>
  <c r="W247" i="1"/>
  <c r="W12" i="1"/>
  <c r="F12" i="1"/>
  <c r="G12" i="1" s="1"/>
  <c r="J20" i="1"/>
  <c r="W178" i="1"/>
  <c r="W69" i="1"/>
  <c r="W256" i="1"/>
  <c r="W340" i="1"/>
  <c r="W290" i="1"/>
  <c r="W206" i="1"/>
  <c r="W15" i="1"/>
  <c r="W7" i="1"/>
  <c r="W175" i="1"/>
  <c r="W280" i="1"/>
  <c r="W122" i="1"/>
  <c r="W327" i="1"/>
  <c r="W335" i="1"/>
  <c r="W281" i="1"/>
  <c r="W17" i="1"/>
  <c r="W19" i="1"/>
  <c r="W286" i="1"/>
  <c r="K338" i="1"/>
  <c r="W174" i="1"/>
  <c r="W179" i="1"/>
  <c r="K258" i="1"/>
  <c r="W249" i="1"/>
  <c r="W128" i="1"/>
  <c r="W171" i="1"/>
  <c r="K214" i="1"/>
  <c r="W253" i="1"/>
  <c r="K290" i="1"/>
  <c r="W209" i="1"/>
  <c r="W257" i="1"/>
  <c r="W282" i="1"/>
  <c r="W121" i="1"/>
  <c r="K177" i="1"/>
  <c r="W172" i="1"/>
  <c r="W250" i="1"/>
  <c r="W118" i="1"/>
  <c r="W176" i="1"/>
  <c r="W254" i="1"/>
  <c r="W258" i="1"/>
  <c r="W279" i="1"/>
  <c r="W291" i="1"/>
  <c r="W283" i="1"/>
  <c r="W331" i="1"/>
  <c r="W287" i="1"/>
  <c r="W215" i="1"/>
  <c r="W251" i="1"/>
  <c r="W292" i="1"/>
  <c r="W71" i="1"/>
  <c r="W123" i="1"/>
  <c r="W207" i="1"/>
  <c r="W284" i="1"/>
  <c r="W9" i="1"/>
  <c r="W288" i="1"/>
  <c r="W166" i="1"/>
  <c r="W248" i="1"/>
  <c r="K382" i="1"/>
  <c r="W10" i="1"/>
  <c r="W208" i="1"/>
  <c r="W124" i="1"/>
  <c r="W210" i="1"/>
  <c r="W214" i="1"/>
  <c r="W285" i="1"/>
  <c r="W333" i="1"/>
  <c r="W339" i="1"/>
  <c r="W70" i="1"/>
  <c r="W75" i="1"/>
  <c r="W126" i="1"/>
  <c r="W167" i="1"/>
  <c r="W169" i="1"/>
  <c r="W289" i="1"/>
  <c r="K83" i="1"/>
  <c r="W77" i="1"/>
  <c r="K132" i="1"/>
  <c r="W173" i="1"/>
  <c r="W177" i="1"/>
  <c r="W203" i="1"/>
  <c r="W205" i="1"/>
  <c r="W328" i="1"/>
  <c r="W337" i="1"/>
  <c r="W8" i="1"/>
  <c r="W74" i="1"/>
  <c r="W130" i="1"/>
  <c r="W211" i="1"/>
  <c r="W213" i="1"/>
  <c r="W216" i="1"/>
  <c r="W332" i="1"/>
  <c r="W120" i="1"/>
  <c r="W13" i="1"/>
  <c r="W18" i="1"/>
  <c r="S86" i="1"/>
  <c r="S87" i="1" s="1"/>
  <c r="W127" i="1"/>
  <c r="W129" i="1"/>
  <c r="W170" i="1"/>
  <c r="W252" i="1"/>
  <c r="W261" i="1"/>
  <c r="W329" i="1"/>
  <c r="W336" i="1"/>
  <c r="U78" i="1"/>
  <c r="W78" i="1" s="1"/>
  <c r="H6" i="1" l="1"/>
  <c r="I6" i="1"/>
  <c r="H15" i="1"/>
  <c r="I15" i="1"/>
  <c r="K15" i="1" s="1"/>
  <c r="H8" i="1"/>
  <c r="I8" i="1"/>
  <c r="K8" i="1" s="1"/>
  <c r="I13" i="1"/>
  <c r="K13" i="1" s="1"/>
  <c r="H13" i="1"/>
  <c r="H11" i="1"/>
  <c r="I11" i="1"/>
  <c r="K11" i="1" s="1"/>
  <c r="H12" i="1"/>
  <c r="I12" i="1"/>
  <c r="K12" i="1" s="1"/>
  <c r="L12" i="1" s="1"/>
  <c r="M12" i="1" s="1"/>
  <c r="I7" i="1"/>
  <c r="K7" i="1" s="1"/>
  <c r="H7" i="1"/>
  <c r="I10" i="1"/>
  <c r="K10" i="1" s="1"/>
  <c r="H10" i="1"/>
  <c r="H9" i="1"/>
  <c r="I9" i="1"/>
  <c r="K9" i="1" s="1"/>
  <c r="F14" i="1"/>
  <c r="G14" i="1" s="1"/>
  <c r="H14" i="1" l="1"/>
  <c r="I14" i="1"/>
  <c r="K14" i="1" s="1"/>
  <c r="K6" i="1"/>
  <c r="K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E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didapatkan dari laporan bulanan kegiatan masing-masing pamong</t>
        </r>
      </text>
    </comment>
    <comment ref="F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diperoleh dari alat presensi bulanan</t>
        </r>
      </text>
    </comment>
    <comment ref="G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diperoleh dari penjumlahan capaian kinerja dan kehadiran</t>
        </r>
      </text>
    </comment>
    <comment ref="H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jumlah dinilai menggunakan kriteria yang tercantum dalam perlur</t>
        </r>
      </text>
    </comment>
    <comment ref="I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diperoleh dari kriteria yang didasarkan pada perlur</t>
        </r>
      </text>
    </comment>
    <comment ref="J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pagu 100% tukin dari APBKAL/RAB Tukin</t>
        </r>
      </text>
    </comment>
    <comment ref="K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besaran tukin yang diterima masing-masing pamong</t>
        </r>
      </text>
    </comment>
    <comment ref="E2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rata-rata capaian kinerja pamong</t>
        </r>
      </text>
    </comment>
    <comment ref="F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kehadiran lurah</t>
        </r>
      </text>
    </comment>
    <comment ref="G2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sama dengan atas</t>
        </r>
      </text>
    </comment>
    <comment ref="H2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sama dengan atas</t>
        </r>
      </text>
    </comment>
    <comment ref="I2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sama dengan atas</t>
        </r>
      </text>
    </comment>
    <comment ref="J2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sama dengan atas</t>
        </r>
      </text>
    </comment>
    <comment ref="K2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tukin yang diterima lurah</t>
        </r>
      </text>
    </comment>
  </commentList>
</comments>
</file>

<file path=xl/sharedStrings.xml><?xml version="1.0" encoding="utf-8"?>
<sst xmlns="http://schemas.openxmlformats.org/spreadsheetml/2006/main" count="837" uniqueCount="103">
  <si>
    <t>REKAPITULASI KINERJA PAMONG KALURAHAN</t>
  </si>
  <si>
    <t>BULAN JANUARI 2026</t>
  </si>
  <si>
    <t>NO</t>
  </si>
  <si>
    <t>NAMA</t>
  </si>
  <si>
    <t>JABATAN</t>
  </si>
  <si>
    <t>CAPAIAN KINERJA (%)</t>
  </si>
  <si>
    <t>KEHADIRAN (%)</t>
  </si>
  <si>
    <t>TOTAL (%) (f+e)</t>
  </si>
  <si>
    <t>KRITERIA</t>
  </si>
  <si>
    <t>PERSENTASE TUNJANGAN YANG DITERIMA BERDASAR KRITERIA</t>
  </si>
  <si>
    <t>PAGU BESARAN TUNJANGAN KINERJA (100%)</t>
  </si>
  <si>
    <r>
      <t xml:space="preserve">BESARAN TUNJANGAN KINERJA </t>
    </r>
    <r>
      <rPr>
        <b/>
        <i/>
        <sz val="12"/>
        <color theme="1"/>
        <rFont val="Times New Roman"/>
        <family val="1"/>
      </rPr>
      <t>(hxi)</t>
    </r>
  </si>
  <si>
    <t>capaian berdasarkan laporan kinerja</t>
  </si>
  <si>
    <t>presensi</t>
  </si>
  <si>
    <t>KB</t>
  </si>
  <si>
    <t>PB</t>
  </si>
  <si>
    <t>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</si>
  <si>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</si>
  <si>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</si>
  <si>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</si>
  <si>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</si>
  <si>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</si>
  <si>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</si>
  <si>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</si>
  <si>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</si>
  <si>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</si>
  <si>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</si>
  <si>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Yoga Nurhidayat Prabawa, S.Pd.</t>
  </si>
  <si>
    <t>Carik</t>
  </si>
  <si>
    <t>Sangat baik</t>
  </si>
  <si>
    <t>Ilma Wulan Ramadani</t>
  </si>
  <si>
    <t>Palapa</t>
  </si>
  <si>
    <t>Baik</t>
  </si>
  <si>
    <t>Bambang Wijonarko, S.Sos.</t>
  </si>
  <si>
    <t>Danarta</t>
  </si>
  <si>
    <t>Cukup</t>
  </si>
  <si>
    <t>presentasi</t>
  </si>
  <si>
    <t>kriteria penilaian</t>
  </si>
  <si>
    <t>besaran tukin</t>
  </si>
  <si>
    <t>Wahyu Dimas Nurhermawan, S.Pd.</t>
  </si>
  <si>
    <t>Jagabaya</t>
  </si>
  <si>
    <t>91%-100%</t>
  </si>
  <si>
    <t>Silik Haryanto</t>
  </si>
  <si>
    <t>Ulu-ulu</t>
  </si>
  <si>
    <t>Buruk</t>
  </si>
  <si>
    <t>81%-90%</t>
  </si>
  <si>
    <t>Eliyana</t>
  </si>
  <si>
    <t>Kamituwa</t>
  </si>
  <si>
    <t>71%-80%</t>
  </si>
  <si>
    <t>Amali Arfan D.A.</t>
  </si>
  <si>
    <t>Dukuh Kemiri</t>
  </si>
  <si>
    <t>61%-70%</t>
  </si>
  <si>
    <t>Kurang</t>
  </si>
  <si>
    <t>Puryono, S.Pt</t>
  </si>
  <si>
    <t>Dukuh Karangtengah Kidul</t>
  </si>
  <si>
    <t>0%-60%</t>
  </si>
  <si>
    <t>buruk</t>
  </si>
  <si>
    <t xml:space="preserve"> </t>
  </si>
  <si>
    <t>Merwan Ardi Widanto, S.Pd.</t>
  </si>
  <si>
    <t>Dukuh Karangtengah Lor</t>
  </si>
  <si>
    <t>Mujiman</t>
  </si>
  <si>
    <t>Dukuh Kembang</t>
  </si>
  <si>
    <t>Salimin</t>
  </si>
  <si>
    <t>Dukuh Gunung Gondang</t>
  </si>
  <si>
    <t>Wahyu Nurarifah</t>
  </si>
  <si>
    <t>Dukuh Kalisoka</t>
  </si>
  <si>
    <t>Poniman</t>
  </si>
  <si>
    <t>Dukuh Kalipetir Kidul</t>
  </si>
  <si>
    <t>Lilis Haryanti</t>
  </si>
  <si>
    <t>Dukuh Kalipetir Lor</t>
  </si>
  <si>
    <t>LURAH MARGOSARI</t>
  </si>
  <si>
    <t>DANANG SUBIANTORO, S.E.</t>
  </si>
  <si>
    <t>BULAN OKTOBER 2024</t>
  </si>
  <si>
    <t>L</t>
  </si>
  <si>
    <t>SP</t>
  </si>
  <si>
    <t>SY</t>
  </si>
  <si>
    <t>BULAN SEP 2024</t>
  </si>
  <si>
    <t>SEP</t>
  </si>
  <si>
    <t>BULAN AGUSTUS 2024</t>
  </si>
  <si>
    <t>AGS</t>
  </si>
  <si>
    <t>BULAN JULI 2024</t>
  </si>
  <si>
    <t>BULAN JUNI 2024</t>
  </si>
  <si>
    <t>Sangat Baik</t>
  </si>
  <si>
    <t>BULAN MEI 2024</t>
  </si>
  <si>
    <t>MEI</t>
  </si>
  <si>
    <t>BERDASARKAN REKAPAN PRESENSI BULANAN</t>
  </si>
  <si>
    <t>Mengetahui</t>
  </si>
  <si>
    <t>Lurah Margosari</t>
  </si>
  <si>
    <t>Presensi + 5 hari</t>
  </si>
  <si>
    <t>BULAN APRIL 2024</t>
  </si>
  <si>
    <r>
      <t xml:space="preserve">BESARAN TUNJANGAN KINERJA </t>
    </r>
    <r>
      <rPr>
        <b/>
        <i/>
        <sz val="11"/>
        <color theme="1"/>
        <rFont val="Times New Roman"/>
        <family val="1"/>
      </rPr>
      <t>(hxi)</t>
    </r>
  </si>
  <si>
    <t>Lurah</t>
  </si>
  <si>
    <t>Dukuh</t>
  </si>
  <si>
    <t>sangat buruk</t>
  </si>
  <si>
    <t>DIISI Manual</t>
  </si>
  <si>
    <t>Tidak kumpul laporan</t>
  </si>
  <si>
    <t>Tunjangan diterima</t>
  </si>
  <si>
    <t>Sanksi</t>
  </si>
  <si>
    <t>Telat kumpul laporan</t>
  </si>
  <si>
    <t>Target</t>
  </si>
  <si>
    <t>0%-9%</t>
  </si>
  <si>
    <t>10%-39%</t>
  </si>
  <si>
    <t>40%-70%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</si>
</sst>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_-;\-* #,##0_-;_-* &quot;-&quot;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9"/>
      <color theme="1"/>
      <name val="Times New Roman"/>
      <family val="1"/>
    </font>
    <font>
      <i/>
      <sz val="12"/>
      <color theme="1"/>
      <name val="Times New Roman"/>
      <family val="1"/>
    </font>
    <font>
      <sz val="9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wrapText="1"/>
    </xf>
    <xf numFmtId="41" fontId="6" fillId="0" borderId="0" xfId="3" applyFont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1" fontId="3" fillId="0" borderId="1" xfId="3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41" fontId="9" fillId="0" borderId="1" xfId="3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9" fontId="6" fillId="0" borderId="1" xfId="1" applyNumberFormat="1" applyFont="1" applyFill="1" applyBorder="1" applyAlignment="1">
      <alignment vertical="center"/>
    </xf>
    <xf numFmtId="9" fontId="6" fillId="0" borderId="1" xfId="0" applyNumberFormat="1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9" fontId="6" fillId="0" borderId="1" xfId="0" applyNumberFormat="1" applyFont="1" applyBorder="1" applyAlignment="1">
      <alignment vertical="center" wrapText="1"/>
    </xf>
    <xf numFmtId="41" fontId="6" fillId="0" borderId="1" xfId="3" applyFont="1" applyFill="1" applyBorder="1" applyAlignment="1">
      <alignment vertical="center"/>
    </xf>
    <xf numFmtId="41" fontId="6" fillId="0" borderId="1" xfId="0" applyNumberFormat="1" applyFont="1" applyBorder="1" applyAlignment="1">
      <alignment vertical="center"/>
    </xf>
    <xf numFmtId="41" fontId="6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left" vertical="center"/>
    </xf>
    <xf numFmtId="41" fontId="2" fillId="0" borderId="0" xfId="0" applyNumberFormat="1" applyFont="1" applyAlignment="1">
      <alignment horizontal="left" vertical="center"/>
    </xf>
    <xf numFmtId="9" fontId="2" fillId="0" borderId="0" xfId="1" applyNumberFormat="1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41" fontId="2" fillId="0" borderId="0" xfId="0" applyNumberFormat="1" applyFont="1"/>
    <xf numFmtId="0" fontId="6" fillId="3" borderId="1" xfId="0" applyFont="1" applyFill="1" applyBorder="1" applyAlignment="1">
      <alignment horizontal="center" vertical="center"/>
    </xf>
    <xf numFmtId="9" fontId="6" fillId="3" borderId="1" xfId="1" applyNumberFormat="1" applyFont="1" applyFill="1" applyBorder="1" applyAlignment="1">
      <alignment vertical="center"/>
    </xf>
    <xf numFmtId="9" fontId="6" fillId="3" borderId="1" xfId="0" applyNumberFormat="1" applyFont="1" applyFill="1" applyBorder="1" applyAlignment="1">
      <alignment vertical="center"/>
    </xf>
    <xf numFmtId="9" fontId="6" fillId="3" borderId="1" xfId="0" applyNumberFormat="1" applyFont="1" applyFill="1" applyBorder="1" applyAlignment="1">
      <alignment vertical="center" wrapText="1"/>
    </xf>
    <xf numFmtId="41" fontId="6" fillId="3" borderId="1" xfId="3" applyFont="1" applyFill="1" applyBorder="1" applyAlignment="1">
      <alignment vertical="center"/>
    </xf>
    <xf numFmtId="0" fontId="4" fillId="0" borderId="0" xfId="0" applyFont="1"/>
    <xf numFmtId="0" fontId="2" fillId="3" borderId="0" xfId="0" applyFont="1" applyFill="1"/>
    <xf numFmtId="41" fontId="2" fillId="3" borderId="0" xfId="0" applyNumberFormat="1" applyFont="1" applyFill="1" applyAlignment="1">
      <alignment horizontal="left" vertical="center"/>
    </xf>
    <xf numFmtId="9" fontId="2" fillId="3" borderId="0" xfId="0" applyNumberFormat="1" applyFont="1" applyFill="1" applyAlignment="1">
      <alignment horizontal="center"/>
    </xf>
    <xf numFmtId="9" fontId="2" fillId="3" borderId="0" xfId="0" applyNumberFormat="1" applyFont="1" applyFill="1"/>
    <xf numFmtId="0" fontId="11" fillId="3" borderId="0" xfId="0" applyFont="1" applyFill="1"/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41" fontId="11" fillId="3" borderId="0" xfId="0" applyNumberFormat="1" applyFont="1" applyFill="1" applyAlignment="1">
      <alignment horizontal="left" vertical="center"/>
    </xf>
    <xf numFmtId="9" fontId="11" fillId="3" borderId="0" xfId="1" applyNumberFormat="1" applyFont="1" applyFill="1" applyBorder="1" applyAlignment="1">
      <alignment vertical="center"/>
    </xf>
    <xf numFmtId="0" fontId="11" fillId="3" borderId="0" xfId="0" applyFont="1" applyFill="1" applyAlignment="1">
      <alignment horizontal="center"/>
    </xf>
    <xf numFmtId="9" fontId="11" fillId="3" borderId="0" xfId="0" applyNumberFormat="1" applyFont="1" applyFill="1"/>
    <xf numFmtId="9" fontId="2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9" fontId="2" fillId="0" borderId="0" xfId="0" applyNumberFormat="1" applyFont="1"/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9" fontId="6" fillId="3" borderId="2" xfId="1" applyNumberFormat="1" applyFont="1" applyFill="1" applyBorder="1" applyAlignment="1">
      <alignment vertical="center"/>
    </xf>
    <xf numFmtId="9" fontId="6" fillId="3" borderId="2" xfId="0" applyNumberFormat="1" applyFont="1" applyFill="1" applyBorder="1" applyAlignment="1">
      <alignment vertical="center"/>
    </xf>
    <xf numFmtId="9" fontId="6" fillId="3" borderId="2" xfId="0" applyNumberFormat="1" applyFont="1" applyFill="1" applyBorder="1" applyAlignment="1">
      <alignment vertical="center" wrapText="1"/>
    </xf>
    <xf numFmtId="41" fontId="6" fillId="3" borderId="2" xfId="3" applyFont="1" applyFill="1" applyBorder="1" applyAlignment="1">
      <alignment vertical="center"/>
    </xf>
    <xf numFmtId="9" fontId="2" fillId="3" borderId="0" xfId="1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41" fontId="3" fillId="0" borderId="1" xfId="3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9" fontId="6" fillId="3" borderId="0" xfId="1" applyNumberFormat="1" applyFont="1" applyFill="1" applyBorder="1" applyAlignment="1">
      <alignment vertical="center"/>
    </xf>
    <xf numFmtId="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41" fontId="3" fillId="0" borderId="0" xfId="3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9" fontId="6" fillId="0" borderId="0" xfId="2" applyFont="1"/>
    <xf numFmtId="0" fontId="2" fillId="0" borderId="0" xfId="0" applyFont="1" applyAlignment="1">
      <alignment wrapText="1"/>
    </xf>
    <xf numFmtId="41" fontId="2" fillId="0" borderId="0" xfId="3" applyFont="1"/>
    <xf numFmtId="0" fontId="12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9" fontId="6" fillId="0" borderId="2" xfId="1" applyNumberFormat="1" applyFont="1" applyFill="1" applyBorder="1" applyAlignment="1">
      <alignment vertical="center"/>
    </xf>
    <xf numFmtId="9" fontId="6" fillId="0" borderId="2" xfId="0" applyNumberFormat="1" applyFont="1" applyBorder="1" applyAlignment="1">
      <alignment vertical="center"/>
    </xf>
    <xf numFmtId="9" fontId="6" fillId="0" borderId="2" xfId="0" applyNumberFormat="1" applyFont="1" applyBorder="1" applyAlignment="1">
      <alignment vertical="center" wrapText="1"/>
    </xf>
    <xf numFmtId="41" fontId="6" fillId="0" borderId="2" xfId="3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9" fontId="2" fillId="0" borderId="0" xfId="2" applyFont="1"/>
    <xf numFmtId="41" fontId="6" fillId="0" borderId="2" xfId="0" applyNumberFormat="1" applyFont="1" applyBorder="1" applyAlignment="1">
      <alignment vertical="center"/>
    </xf>
    <xf numFmtId="9" fontId="2" fillId="0" borderId="0" xfId="0" applyNumberFormat="1" applyFont="1" applyAlignment="1">
      <alignment vertical="center"/>
    </xf>
    <xf numFmtId="9" fontId="6" fillId="0" borderId="0" xfId="1" applyNumberFormat="1" applyFont="1" applyFill="1" applyBorder="1" applyAlignment="1">
      <alignment vertical="center"/>
    </xf>
    <xf numFmtId="9" fontId="6" fillId="0" borderId="0" xfId="2" applyFont="1" applyBorder="1"/>
    <xf numFmtId="9" fontId="6" fillId="0" borderId="0" xfId="0" applyNumberFormat="1" applyFont="1"/>
    <xf numFmtId="0" fontId="6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4" borderId="0" xfId="0" applyFont="1" applyFill="1"/>
    <xf numFmtId="41" fontId="3" fillId="0" borderId="1" xfId="3" applyFont="1" applyFill="1" applyBorder="1" applyAlignment="1">
      <alignment vertical="center"/>
    </xf>
    <xf numFmtId="41" fontId="3" fillId="0" borderId="0" xfId="3" applyFont="1" applyFill="1" applyBorder="1" applyAlignment="1">
      <alignment vertical="center"/>
    </xf>
    <xf numFmtId="41" fontId="3" fillId="0" borderId="0" xfId="3" applyFont="1" applyFill="1" applyBorder="1" applyAlignment="1">
      <alignment horizontal="left" vertical="center"/>
    </xf>
    <xf numFmtId="41" fontId="4" fillId="0" borderId="0" xfId="3" applyFont="1" applyFill="1" applyBorder="1" applyAlignment="1">
      <alignment horizontal="left" vertical="center"/>
    </xf>
    <xf numFmtId="41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9" fontId="2" fillId="0" borderId="0" xfId="2" applyFont="1" applyBorder="1"/>
    <xf numFmtId="41" fontId="6" fillId="3" borderId="1" xfId="0" applyNumberFormat="1" applyFont="1" applyFill="1" applyBorder="1" applyAlignment="1">
      <alignment vertical="center"/>
    </xf>
    <xf numFmtId="41" fontId="12" fillId="3" borderId="1" xfId="0" applyNumberFormat="1" applyFont="1" applyFill="1" applyBorder="1" applyAlignment="1">
      <alignment vertical="center"/>
    </xf>
    <xf numFmtId="41" fontId="6" fillId="3" borderId="0" xfId="0" applyNumberFormat="1" applyFont="1" applyFill="1" applyAlignment="1">
      <alignment vertical="center"/>
    </xf>
    <xf numFmtId="41" fontId="6" fillId="3" borderId="0" xfId="0" applyNumberFormat="1" applyFont="1" applyFill="1" applyAlignment="1">
      <alignment horizontal="left" vertical="center"/>
    </xf>
    <xf numFmtId="41" fontId="12" fillId="3" borderId="0" xfId="0" applyNumberFormat="1" applyFont="1" applyFill="1" applyAlignment="1">
      <alignment vertical="center"/>
    </xf>
    <xf numFmtId="41" fontId="12" fillId="3" borderId="0" xfId="0" applyNumberFormat="1" applyFont="1" applyFill="1" applyAlignment="1">
      <alignment horizontal="left" vertical="center"/>
    </xf>
    <xf numFmtId="41" fontId="2" fillId="3" borderId="0" xfId="0" applyNumberFormat="1" applyFont="1" applyFill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1" fontId="4" fillId="0" borderId="1" xfId="3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1" fontId="8" fillId="0" borderId="1" xfId="3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9" fontId="2" fillId="0" borderId="1" xfId="1" applyNumberFormat="1" applyFont="1" applyFill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2" fillId="0" borderId="1" xfId="0" applyNumberFormat="1" applyFont="1" applyBorder="1" applyAlignment="1">
      <alignment vertical="center" wrapText="1"/>
    </xf>
    <xf numFmtId="41" fontId="2" fillId="0" borderId="1" xfId="3" applyFont="1" applyFill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vertical="center"/>
    </xf>
    <xf numFmtId="41" fontId="2" fillId="3" borderId="1" xfId="3" applyFont="1" applyFill="1" applyBorder="1" applyAlignment="1">
      <alignment vertical="center"/>
    </xf>
    <xf numFmtId="41" fontId="2" fillId="3" borderId="1" xfId="0" applyNumberFormat="1" applyFont="1" applyFill="1" applyBorder="1" applyAlignment="1">
      <alignment vertical="center"/>
    </xf>
    <xf numFmtId="41" fontId="2" fillId="0" borderId="0" xfId="0" applyNumberFormat="1" applyFont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9" fontId="2" fillId="3" borderId="1" xfId="1" applyNumberFormat="1" applyFont="1" applyFill="1" applyBorder="1" applyAlignment="1">
      <alignment vertical="center"/>
    </xf>
    <xf numFmtId="9" fontId="2" fillId="3" borderId="1" xfId="0" applyNumberFormat="1" applyFont="1" applyFill="1" applyBorder="1" applyAlignment="1">
      <alignment vertical="center" wrapText="1"/>
    </xf>
    <xf numFmtId="41" fontId="11" fillId="3" borderId="1" xfId="0" applyNumberFormat="1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41" fontId="2" fillId="3" borderId="0" xfId="0" applyNumberFormat="1" applyFont="1" applyFill="1" applyAlignment="1">
      <alignment vertical="center"/>
    </xf>
    <xf numFmtId="41" fontId="11" fillId="3" borderId="0" xfId="0" applyNumberFormat="1" applyFont="1" applyFill="1" applyAlignment="1">
      <alignment vertical="center"/>
    </xf>
    <xf numFmtId="41" fontId="4" fillId="0" borderId="1" xfId="3" applyFont="1" applyFill="1" applyBorder="1" applyAlignment="1">
      <alignment vertical="center"/>
    </xf>
    <xf numFmtId="41" fontId="4" fillId="0" borderId="0" xfId="3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41" fontId="3" fillId="7" borderId="1" xfId="3" applyFont="1" applyFill="1" applyBorder="1" applyAlignment="1">
      <alignment horizontal="center" vertical="center" wrapText="1"/>
    </xf>
    <xf numFmtId="41" fontId="9" fillId="7" borderId="1" xfId="3" applyFont="1" applyFill="1" applyBorder="1" applyAlignment="1">
      <alignment horizontal="center" wrapText="1"/>
    </xf>
    <xf numFmtId="41" fontId="6" fillId="7" borderId="1" xfId="3" applyFont="1" applyFill="1" applyBorder="1" applyAlignment="1">
      <alignment vertical="center"/>
    </xf>
    <xf numFmtId="41" fontId="3" fillId="7" borderId="1" xfId="3" applyFont="1" applyFill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wrapText="1"/>
    </xf>
    <xf numFmtId="41" fontId="6" fillId="8" borderId="1" xfId="0" applyNumberFormat="1" applyFont="1" applyFill="1" applyBorder="1" applyAlignment="1">
      <alignment vertical="center"/>
    </xf>
    <xf numFmtId="41" fontId="3" fillId="8" borderId="1" xfId="3" applyFont="1" applyFill="1" applyBorder="1" applyAlignment="1">
      <alignment vertical="center"/>
    </xf>
    <xf numFmtId="41" fontId="3" fillId="8" borderId="0" xfId="3" applyFont="1" applyFill="1" applyBorder="1" applyAlignment="1">
      <alignment vertical="center"/>
    </xf>
    <xf numFmtId="9" fontId="0" fillId="0" borderId="0" xfId="2" applyFont="1"/>
    <xf numFmtId="0" fontId="6" fillId="8" borderId="1" xfId="0" applyFont="1" applyFill="1" applyBorder="1" applyAlignment="1">
      <alignment vertical="center"/>
    </xf>
    <xf numFmtId="9" fontId="6" fillId="8" borderId="1" xfId="1" applyNumberFormat="1" applyFont="1" applyFill="1" applyBorder="1" applyAlignment="1">
      <alignment vertical="center"/>
    </xf>
    <xf numFmtId="9" fontId="6" fillId="8" borderId="1" xfId="0" applyNumberFormat="1" applyFont="1" applyFill="1" applyBorder="1" applyAlignment="1">
      <alignment vertical="center"/>
    </xf>
    <xf numFmtId="41" fontId="6" fillId="8" borderId="0" xfId="0" applyNumberFormat="1" applyFont="1" applyFill="1" applyAlignment="1">
      <alignment vertical="center"/>
    </xf>
    <xf numFmtId="9" fontId="0" fillId="8" borderId="0" xfId="2" applyFont="1" applyFill="1"/>
    <xf numFmtId="0" fontId="2" fillId="8" borderId="0" xfId="0" applyFont="1" applyFill="1"/>
    <xf numFmtId="41" fontId="2" fillId="8" borderId="0" xfId="0" applyNumberFormat="1" applyFont="1" applyFill="1"/>
    <xf numFmtId="0" fontId="2" fillId="8" borderId="0" xfId="0" applyFont="1" applyFill="1" applyAlignment="1">
      <alignment horizontal="center"/>
    </xf>
    <xf numFmtId="9" fontId="2" fillId="8" borderId="0" xfId="0" applyNumberFormat="1" applyFont="1" applyFill="1"/>
    <xf numFmtId="0" fontId="3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wrapText="1"/>
    </xf>
    <xf numFmtId="41" fontId="6" fillId="9" borderId="0" xfId="0" applyNumberFormat="1" applyFont="1" applyFill="1" applyAlignment="1">
      <alignment horizontal="left" vertical="center"/>
    </xf>
    <xf numFmtId="41" fontId="2" fillId="9" borderId="0" xfId="0" applyNumberFormat="1" applyFont="1" applyFill="1" applyAlignment="1">
      <alignment horizontal="left" vertical="center"/>
    </xf>
    <xf numFmtId="9" fontId="2" fillId="9" borderId="0" xfId="1" applyNumberFormat="1" applyFont="1" applyFill="1" applyBorder="1" applyAlignment="1">
      <alignment vertical="center"/>
    </xf>
    <xf numFmtId="41" fontId="11" fillId="9" borderId="0" xfId="0" applyNumberFormat="1" applyFont="1" applyFill="1" applyAlignment="1">
      <alignment horizontal="left" vertical="center"/>
    </xf>
    <xf numFmtId="9" fontId="11" fillId="9" borderId="0" xfId="1" applyNumberFormat="1" applyFont="1" applyFill="1" applyBorder="1" applyAlignment="1">
      <alignment vertical="center"/>
    </xf>
    <xf numFmtId="9" fontId="2" fillId="9" borderId="0" xfId="1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vertical="center"/>
    </xf>
    <xf numFmtId="9" fontId="6" fillId="10" borderId="1" xfId="1" applyNumberFormat="1" applyFont="1" applyFill="1" applyBorder="1" applyAlignment="1">
      <alignment vertical="center"/>
    </xf>
    <xf numFmtId="9" fontId="6" fillId="10" borderId="1" xfId="0" applyNumberFormat="1" applyFont="1" applyFill="1" applyBorder="1" applyAlignment="1">
      <alignment vertical="center"/>
    </xf>
    <xf numFmtId="41" fontId="6" fillId="10" borderId="1" xfId="3" applyFont="1" applyFill="1" applyBorder="1" applyAlignment="1">
      <alignment vertical="center"/>
    </xf>
    <xf numFmtId="41" fontId="6" fillId="10" borderId="1" xfId="0" applyNumberFormat="1" applyFont="1" applyFill="1" applyBorder="1" applyAlignment="1">
      <alignment vertical="center"/>
    </xf>
    <xf numFmtId="41" fontId="6" fillId="10" borderId="0" xfId="0" applyNumberFormat="1" applyFont="1" applyFill="1" applyAlignment="1">
      <alignment vertical="center"/>
    </xf>
    <xf numFmtId="41" fontId="6" fillId="10" borderId="0" xfId="0" applyNumberFormat="1" applyFont="1" applyFill="1" applyAlignment="1">
      <alignment horizontal="left" vertical="center"/>
    </xf>
    <xf numFmtId="41" fontId="2" fillId="10" borderId="0" xfId="0" applyNumberFormat="1" applyFont="1" applyFill="1" applyAlignment="1">
      <alignment horizontal="left" vertical="center"/>
    </xf>
    <xf numFmtId="9" fontId="2" fillId="10" borderId="0" xfId="1" applyNumberFormat="1" applyFont="1" applyFill="1" applyBorder="1" applyAlignment="1">
      <alignment vertical="center"/>
    </xf>
    <xf numFmtId="9" fontId="0" fillId="10" borderId="0" xfId="2" applyFont="1" applyFill="1"/>
    <xf numFmtId="9" fontId="2" fillId="10" borderId="0" xfId="0" applyNumberFormat="1" applyFont="1" applyFill="1"/>
    <xf numFmtId="41" fontId="2" fillId="10" borderId="0" xfId="0" applyNumberFormat="1" applyFont="1" applyFill="1"/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6" fillId="2" borderId="1" xfId="0" applyFont="1" applyFill="1" applyBorder="1" applyAlignment="1">
      <alignment vertical="center"/>
    </xf>
    <xf numFmtId="9" fontId="6" fillId="2" borderId="1" xfId="1" applyNumberFormat="1" applyFont="1" applyFill="1" applyBorder="1" applyAlignment="1">
      <alignment vertical="center"/>
    </xf>
    <xf numFmtId="9" fontId="6" fillId="2" borderId="1" xfId="0" applyNumberFormat="1" applyFont="1" applyFill="1" applyBorder="1" applyAlignment="1">
      <alignment vertical="center"/>
    </xf>
    <xf numFmtId="41" fontId="6" fillId="2" borderId="1" xfId="3" applyFont="1" applyFill="1" applyBorder="1" applyAlignment="1">
      <alignment vertical="center"/>
    </xf>
    <xf numFmtId="41" fontId="6" fillId="2" borderId="1" xfId="0" applyNumberFormat="1" applyFont="1" applyFill="1" applyBorder="1" applyAlignment="1">
      <alignment vertical="center"/>
    </xf>
    <xf numFmtId="41" fontId="6" fillId="2" borderId="0" xfId="0" applyNumberFormat="1" applyFont="1" applyFill="1" applyAlignment="1">
      <alignment vertical="center"/>
    </xf>
    <xf numFmtId="41" fontId="6" fillId="2" borderId="0" xfId="0" applyNumberFormat="1" applyFont="1" applyFill="1" applyAlignment="1">
      <alignment horizontal="left" vertical="center"/>
    </xf>
    <xf numFmtId="41" fontId="2" fillId="2" borderId="0" xfId="0" applyNumberFormat="1" applyFont="1" applyFill="1" applyAlignment="1">
      <alignment horizontal="left" vertical="center"/>
    </xf>
    <xf numFmtId="9" fontId="2" fillId="2" borderId="0" xfId="1" applyNumberFormat="1" applyFont="1" applyFill="1" applyBorder="1" applyAlignment="1">
      <alignment vertical="center"/>
    </xf>
    <xf numFmtId="9" fontId="0" fillId="2" borderId="0" xfId="2" applyFont="1" applyFill="1"/>
    <xf numFmtId="41" fontId="2" fillId="2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9" fontId="2" fillId="2" borderId="0" xfId="2" applyFont="1" applyFill="1"/>
    <xf numFmtId="0" fontId="9" fillId="9" borderId="0" xfId="0" applyFont="1" applyFill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9" fontId="10" fillId="0" borderId="0" xfId="0" applyNumberFormat="1" applyFont="1" applyAlignment="1">
      <alignment horizontal="center"/>
    </xf>
  </cellXfs>
  <cellStyles count="4">
    <cellStyle name="Comma [0]" xfId="1" builtinId="6"/>
    <cellStyle name="Comma [0]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61"/>
  <sheetViews>
    <sheetView tabSelected="1" zoomScale="70" zoomScaleNormal="100" workbookViewId="0">
      <selection activeCell="J6" sqref="J6"/>
    </sheetView>
  </sheetViews>
  <sheetFormatPr defaultColWidth="9.109375" defaultRowHeight="13.8" x14ac:dyDescent="0.25"/>
  <cols>
    <col min="1" max="1" width="7.44140625" style="1" customWidth="1"/>
    <col min="2" max="2" width="6.44140625" style="62" customWidth="1"/>
    <col min="3" max="3" width="35.33203125" style="1" bestFit="1" customWidth="1"/>
    <col min="4" max="4" width="28.109375" style="1" bestFit="1" customWidth="1"/>
    <col min="5" max="5" width="12.44140625" style="1" customWidth="1"/>
    <col min="6" max="6" width="16.109375" style="1" customWidth="1"/>
    <col min="7" max="7" width="11.33203125" style="1" customWidth="1"/>
    <col min="8" max="8" width="13.109375" style="85" customWidth="1"/>
    <col min="9" max="9" width="16.5546875" style="85" customWidth="1"/>
    <col min="10" max="10" width="20.33203125" style="86" customWidth="1"/>
    <col min="11" max="13" width="14.88671875" style="1" customWidth="1"/>
    <col min="14" max="14" width="9.109375" style="1" customWidth="1"/>
    <col min="15" max="15" width="2.44140625" style="1" bestFit="1" customWidth="1"/>
    <col min="16" max="16" width="2.44140625" style="1" customWidth="1"/>
    <col min="17" max="18" width="7.88671875" style="12" customWidth="1"/>
    <col min="19" max="19" width="12.5546875" style="1" customWidth="1"/>
    <col min="20" max="20" width="14.88671875" style="1" bestFit="1" customWidth="1"/>
    <col min="21" max="21" width="11.33203125" style="1" bestFit="1" customWidth="1"/>
    <col min="22" max="22" width="9.109375" style="1"/>
    <col min="23" max="23" width="10.44140625" style="1" customWidth="1"/>
    <col min="24" max="24" width="4.109375" style="1" customWidth="1"/>
    <col min="25" max="25" width="9.44140625" style="1" customWidth="1"/>
    <col min="26" max="26" width="18.44140625" style="1" customWidth="1"/>
    <col min="27" max="27" width="8.6640625" style="1" customWidth="1"/>
    <col min="28" max="16384" width="9.109375" style="1"/>
  </cols>
  <sheetData>
    <row r="1" spans="1:27" ht="15.6" x14ac:dyDescent="0.3">
      <c r="B1" s="212" t="s">
        <v>0</v>
      </c>
      <c r="C1" s="212"/>
      <c r="D1" s="212"/>
      <c r="E1" s="212"/>
      <c r="F1" s="212"/>
      <c r="G1" s="212"/>
      <c r="H1" s="212"/>
      <c r="I1" s="212"/>
      <c r="J1" s="212"/>
      <c r="K1" s="212"/>
      <c r="L1" s="2"/>
      <c r="M1" s="2"/>
      <c r="N1" s="2"/>
      <c r="O1" s="2"/>
      <c r="P1" s="2"/>
      <c r="Q1" s="3"/>
      <c r="R1" s="4"/>
      <c r="S1" s="5"/>
      <c r="T1" s="5"/>
    </row>
    <row r="2" spans="1:27" ht="15.6" x14ac:dyDescent="0.3">
      <c r="B2" s="212" t="s">
        <v>1</v>
      </c>
      <c r="C2" s="212"/>
      <c r="D2" s="212"/>
      <c r="E2" s="212"/>
      <c r="F2" s="212"/>
      <c r="G2" s="212"/>
      <c r="H2" s="212"/>
      <c r="I2" s="212"/>
      <c r="J2" s="212"/>
      <c r="K2" s="212"/>
      <c r="L2" s="2"/>
      <c r="M2" s="2"/>
      <c r="N2" s="2"/>
      <c r="O2" s="6"/>
      <c r="P2" s="6"/>
      <c r="Q2" s="3"/>
      <c r="R2" s="4"/>
      <c r="S2" s="5"/>
      <c r="T2" s="5"/>
    </row>
    <row r="3" spans="1:27" ht="12" customHeight="1" x14ac:dyDescent="0.3">
      <c r="B3" s="7"/>
      <c r="C3" s="8"/>
      <c r="D3" s="8"/>
      <c r="E3" s="8"/>
      <c r="F3" s="8"/>
      <c r="G3" s="8"/>
      <c r="H3" s="9"/>
      <c r="I3" s="9"/>
      <c r="J3" s="10"/>
      <c r="K3" s="8"/>
      <c r="L3" s="8"/>
      <c r="M3" s="8"/>
      <c r="N3" s="8"/>
      <c r="O3" s="8"/>
      <c r="P3" s="8"/>
      <c r="Q3" s="11"/>
    </row>
    <row r="4" spans="1:27" s="13" customFormat="1" ht="95.25" customHeight="1" x14ac:dyDescent="0.3">
      <c r="B4" s="14" t="s">
        <v>2</v>
      </c>
      <c r="C4" s="14" t="s">
        <v>3</v>
      </c>
      <c r="D4" s="14" t="s">
        <v>4</v>
      </c>
      <c r="E4" s="152" t="s">
        <v>5</v>
      </c>
      <c r="F4" s="150" t="s">
        <v>6</v>
      </c>
      <c r="G4" s="15" t="s">
        <v>7</v>
      </c>
      <c r="H4" s="15" t="s">
        <v>8</v>
      </c>
      <c r="I4" s="15" t="s">
        <v>9</v>
      </c>
      <c r="J4" s="154" t="s">
        <v>10</v>
      </c>
      <c r="K4" s="160" t="s">
        <v>11</v>
      </c>
      <c r="L4" s="175" t="s">
        <v>97</v>
      </c>
      <c r="M4" s="175" t="s">
        <v>96</v>
      </c>
      <c r="N4" s="17"/>
      <c r="O4" s="17"/>
      <c r="P4" s="17"/>
      <c r="Q4" s="17"/>
      <c r="R4" s="18"/>
      <c r="S4" s="19" t="s">
        <v>12</v>
      </c>
      <c r="T4" s="19" t="s">
        <v>13</v>
      </c>
      <c r="U4" s="20" t="s">
        <v>14</v>
      </c>
      <c r="V4" s="21" t="s">
        <v>15</v>
      </c>
      <c r="W4" s="20" t="s">
        <v>16</v>
      </c>
    </row>
    <row r="5" spans="1:27" s="22" customFormat="1" ht="15" customHeight="1" x14ac:dyDescent="0.3">
      <c r="B5" s="23" t="s">
        <v>17</v>
      </c>
      <c r="C5" s="23" t="s">
        <v>18</v>
      </c>
      <c r="D5" s="23" t="s">
        <v>19</v>
      </c>
      <c r="E5" s="153" t="s">
        <v>20</v>
      </c>
      <c r="F5" s="151" t="s">
        <v>21</v>
      </c>
      <c r="G5" s="23" t="s">
        <v>22</v>
      </c>
      <c r="H5" s="24" t="s">
        <v>23</v>
      </c>
      <c r="I5" s="24" t="s">
        <v>24</v>
      </c>
      <c r="J5" s="155" t="s">
        <v>25</v>
      </c>
      <c r="K5" s="161" t="s">
        <v>26</v>
      </c>
      <c r="L5" s="176"/>
      <c r="M5" s="176"/>
      <c r="N5" s="26"/>
      <c r="O5" s="26"/>
      <c r="P5" s="26"/>
      <c r="Q5" s="211" t="s">
        <v>94</v>
      </c>
      <c r="R5" s="211"/>
      <c r="S5" s="211"/>
      <c r="T5" s="29"/>
    </row>
    <row r="6" spans="1:27" ht="19.5" customHeight="1" x14ac:dyDescent="0.3">
      <c r="B6" s="30">
        <v>1</v>
      </c>
      <c r="C6" s="31"/>
      <c r="D6" s="31" t="s">
        <v>28</v>
      </c>
      <c r="E6" s="167">
        <f>U6</f>
        <v>0.03</v>
      </c>
      <c r="F6" s="168">
        <f t="shared" ref="F6:F11" si="0">V6</f>
        <v>0.4</v>
      </c>
      <c r="G6" s="33">
        <f>E6+F6</f>
        <v>0.43000000000000005</v>
      </c>
      <c r="H6" s="34" t="str">
        <f>IF(G6&gt;=91%,"Sangat baik",IF(G6&gt;=81%,"Baik",IF(G6&gt;=71%,"Cukup",IF(G6&gt;=39%,"Kurang",IF(G6&gt;=10%,"Buruk","Sangat Buruk")))))</f>
        <v>Kurang</v>
      </c>
      <c r="I6" s="35" t="str">
        <f>IF(G6&gt;=91%,"100%",IF(G6&gt;=81%,"90%",IF(G6&gt;=71%,"70%",IF(G6&gt;=40%,"40%",IF(G6&gt;=10%,"10%","0%")))))</f>
        <v>40%</v>
      </c>
      <c r="J6" s="156">
        <f>446000*14/4</f>
        <v>1561000</v>
      </c>
      <c r="K6" s="162">
        <f>I6*J6</f>
        <v>624400</v>
      </c>
      <c r="L6" s="169"/>
      <c r="M6" s="169"/>
      <c r="N6" s="38"/>
      <c r="O6" s="38"/>
      <c r="P6" s="38"/>
      <c r="Q6" s="177">
        <v>21</v>
      </c>
      <c r="R6" s="178">
        <v>21</v>
      </c>
      <c r="S6" s="179">
        <v>0.05</v>
      </c>
      <c r="T6" s="170">
        <f t="shared" ref="T6:T11" si="1">R6/Q6</f>
        <v>1</v>
      </c>
      <c r="U6" s="174">
        <f>S6*60%</f>
        <v>0.03</v>
      </c>
      <c r="V6" s="225">
        <f>T6*40%</f>
        <v>0.4</v>
      </c>
      <c r="W6" s="43">
        <f>U6+V6</f>
        <v>0.43000000000000005</v>
      </c>
    </row>
    <row r="7" spans="1:27" ht="19.5" customHeight="1" x14ac:dyDescent="0.3">
      <c r="B7" s="44">
        <v>2</v>
      </c>
      <c r="C7" s="34"/>
      <c r="D7" s="34" t="s">
        <v>31</v>
      </c>
      <c r="E7" s="167">
        <f t="shared" ref="E7:E11" si="2">U7</f>
        <v>0.52200000000000002</v>
      </c>
      <c r="F7" s="168">
        <f t="shared" si="0"/>
        <v>0.38095238095238093</v>
      </c>
      <c r="G7" s="46">
        <f t="shared" ref="G7:G16" si="3">E7+F7</f>
        <v>0.90295238095238095</v>
      </c>
      <c r="H7" s="34" t="str">
        <f t="shared" ref="H7:H17" si="4">IF(G7&gt;=91%,"Sangat baik",IF(G7&gt;=81%,"Baik",IF(G7&gt;=71%,"Cukup",IF(G7&gt;=39%,"Kurang",IF(G7&gt;=10%,"Buruk","Sangat Buruk")))))</f>
        <v>Baik</v>
      </c>
      <c r="I7" s="35" t="str">
        <f t="shared" ref="I7:I17" si="5">IF(G7&gt;=91%,"100%",IF(G7&gt;=81%,"90%",IF(G7&gt;=71%,"70%",IF(G7&gt;=40%,"40%",IF(G7&gt;=10%,"10%","0%")))))</f>
        <v>90%</v>
      </c>
      <c r="J7" s="156">
        <f>395700*14/4</f>
        <v>1384950</v>
      </c>
      <c r="K7" s="162">
        <f t="shared" ref="K7:K17" si="6">I7*J7</f>
        <v>1246455</v>
      </c>
      <c r="L7" s="169"/>
      <c r="M7" s="169"/>
      <c r="N7" s="38"/>
      <c r="O7" s="38"/>
      <c r="P7" s="38"/>
      <c r="Q7" s="177">
        <v>21</v>
      </c>
      <c r="R7" s="178">
        <v>20</v>
      </c>
      <c r="S7" s="179">
        <v>0.87</v>
      </c>
      <c r="T7" s="170">
        <f t="shared" si="1"/>
        <v>0.95238095238095233</v>
      </c>
      <c r="U7" s="174">
        <f t="shared" ref="U7:U24" si="7">S7*60%</f>
        <v>0.52200000000000002</v>
      </c>
      <c r="V7" s="225">
        <f t="shared" ref="V7:V19" si="8">T7*40%</f>
        <v>0.38095238095238093</v>
      </c>
      <c r="W7" s="43">
        <f t="shared" ref="W7" si="9">U7+V7</f>
        <v>0.90295238095238095</v>
      </c>
    </row>
    <row r="8" spans="1:27" ht="19.5" customHeight="1" x14ac:dyDescent="0.3">
      <c r="B8" s="44">
        <v>3</v>
      </c>
      <c r="C8" s="34"/>
      <c r="D8" s="34" t="s">
        <v>34</v>
      </c>
      <c r="E8" s="167">
        <f t="shared" si="2"/>
        <v>0.42</v>
      </c>
      <c r="F8" s="168">
        <f t="shared" si="0"/>
        <v>0.34285714285714286</v>
      </c>
      <c r="G8" s="46">
        <f t="shared" si="3"/>
        <v>0.7628571428571429</v>
      </c>
      <c r="H8" s="34" t="str">
        <f t="shared" si="4"/>
        <v>Cukup</v>
      </c>
      <c r="I8" s="35" t="str">
        <f t="shared" si="5"/>
        <v>70%</v>
      </c>
      <c r="J8" s="156">
        <f>349600*14/4</f>
        <v>1223600</v>
      </c>
      <c r="K8" s="162">
        <f t="shared" si="6"/>
        <v>856520</v>
      </c>
      <c r="L8" s="169"/>
      <c r="M8" s="169"/>
      <c r="N8" s="38"/>
      <c r="O8" s="38"/>
      <c r="P8" s="38"/>
      <c r="Q8" s="177">
        <v>21</v>
      </c>
      <c r="R8" s="178">
        <v>18</v>
      </c>
      <c r="S8" s="179">
        <v>0.7</v>
      </c>
      <c r="T8" s="170">
        <f t="shared" si="1"/>
        <v>0.8571428571428571</v>
      </c>
      <c r="U8" s="174">
        <f t="shared" si="7"/>
        <v>0.42</v>
      </c>
      <c r="V8" s="225">
        <f t="shared" si="8"/>
        <v>0.34285714285714286</v>
      </c>
      <c r="W8" s="43">
        <f>U8+V8</f>
        <v>0.7628571428571429</v>
      </c>
      <c r="Y8" s="5" t="s">
        <v>36</v>
      </c>
      <c r="Z8" s="49" t="s">
        <v>37</v>
      </c>
      <c r="AA8" s="49" t="s">
        <v>38</v>
      </c>
    </row>
    <row r="9" spans="1:27" s="50" customFormat="1" ht="19.5" customHeight="1" x14ac:dyDescent="0.3">
      <c r="B9" s="44">
        <v>4</v>
      </c>
      <c r="C9" s="34"/>
      <c r="D9" s="34" t="s">
        <v>40</v>
      </c>
      <c r="E9" s="167">
        <f t="shared" si="2"/>
        <v>0.51</v>
      </c>
      <c r="F9" s="168">
        <f t="shared" si="0"/>
        <v>0.34285714285714286</v>
      </c>
      <c r="G9" s="46">
        <f t="shared" si="3"/>
        <v>0.85285714285714287</v>
      </c>
      <c r="H9" s="34" t="str">
        <f t="shared" si="4"/>
        <v>Baik</v>
      </c>
      <c r="I9" s="35" t="str">
        <f t="shared" si="5"/>
        <v>90%</v>
      </c>
      <c r="J9" s="156">
        <f t="shared" ref="J9:J12" si="10">349600*14/4</f>
        <v>1223600</v>
      </c>
      <c r="K9" s="162">
        <f t="shared" si="6"/>
        <v>1101240</v>
      </c>
      <c r="L9" s="169"/>
      <c r="M9" s="169"/>
      <c r="N9" s="38"/>
      <c r="O9" s="38"/>
      <c r="P9" s="38"/>
      <c r="Q9" s="177">
        <v>21</v>
      </c>
      <c r="R9" s="178">
        <v>18</v>
      </c>
      <c r="S9" s="179">
        <v>0.85</v>
      </c>
      <c r="T9" s="170">
        <f t="shared" si="1"/>
        <v>0.8571428571428571</v>
      </c>
      <c r="U9" s="174">
        <f t="shared" si="7"/>
        <v>0.51</v>
      </c>
      <c r="V9" s="225">
        <f t="shared" si="8"/>
        <v>0.34285714285714286</v>
      </c>
      <c r="W9" s="43">
        <f t="shared" ref="W9:W19" si="11">U9+V9</f>
        <v>0.85285714285714287</v>
      </c>
      <c r="Y9" s="52" t="s">
        <v>41</v>
      </c>
      <c r="Z9" s="50" t="s">
        <v>29</v>
      </c>
      <c r="AA9" s="53">
        <v>1</v>
      </c>
    </row>
    <row r="10" spans="1:27" s="54" customFormat="1" ht="19.5" customHeight="1" x14ac:dyDescent="0.3">
      <c r="B10" s="55">
        <v>5</v>
      </c>
      <c r="C10" s="56"/>
      <c r="D10" s="56" t="s">
        <v>43</v>
      </c>
      <c r="E10" s="167">
        <f t="shared" si="2"/>
        <v>0.54</v>
      </c>
      <c r="F10" s="168">
        <f t="shared" si="0"/>
        <v>0.38095238095238093</v>
      </c>
      <c r="G10" s="46">
        <f t="shared" si="3"/>
        <v>0.92095238095238097</v>
      </c>
      <c r="H10" s="34" t="str">
        <f t="shared" si="4"/>
        <v>Sangat baik</v>
      </c>
      <c r="I10" s="35" t="str">
        <f t="shared" si="5"/>
        <v>100%</v>
      </c>
      <c r="J10" s="156">
        <f t="shared" si="10"/>
        <v>1223600</v>
      </c>
      <c r="K10" s="162">
        <f t="shared" si="6"/>
        <v>1223600</v>
      </c>
      <c r="L10" s="169"/>
      <c r="M10" s="169"/>
      <c r="N10" s="38">
        <f>63-5</f>
        <v>58</v>
      </c>
      <c r="O10" s="38"/>
      <c r="P10" s="38"/>
      <c r="Q10" s="177">
        <v>21</v>
      </c>
      <c r="R10" s="180">
        <v>20</v>
      </c>
      <c r="S10" s="181">
        <v>0.9</v>
      </c>
      <c r="T10" s="170">
        <f t="shared" si="1"/>
        <v>0.95238095238095233</v>
      </c>
      <c r="U10" s="174">
        <f t="shared" si="7"/>
        <v>0.54</v>
      </c>
      <c r="V10" s="225">
        <f t="shared" si="8"/>
        <v>0.38095238095238093</v>
      </c>
      <c r="W10" s="43">
        <f t="shared" si="11"/>
        <v>0.92095238095238097</v>
      </c>
      <c r="Y10" s="59" t="s">
        <v>45</v>
      </c>
      <c r="Z10" s="54" t="s">
        <v>32</v>
      </c>
      <c r="AA10" s="60">
        <v>0.9</v>
      </c>
    </row>
    <row r="11" spans="1:27" ht="19.5" customHeight="1" x14ac:dyDescent="0.3">
      <c r="B11" s="44">
        <v>6</v>
      </c>
      <c r="C11" s="34"/>
      <c r="D11" s="34" t="s">
        <v>47</v>
      </c>
      <c r="E11" s="167">
        <f t="shared" si="2"/>
        <v>0.39600000000000002</v>
      </c>
      <c r="F11" s="168">
        <f t="shared" si="0"/>
        <v>0.34285714285714286</v>
      </c>
      <c r="G11" s="46">
        <f t="shared" si="3"/>
        <v>0.73885714285714288</v>
      </c>
      <c r="H11" s="34" t="str">
        <f t="shared" si="4"/>
        <v>Cukup</v>
      </c>
      <c r="I11" s="35" t="str">
        <f t="shared" si="5"/>
        <v>70%</v>
      </c>
      <c r="J11" s="156">
        <f t="shared" si="10"/>
        <v>1223600</v>
      </c>
      <c r="K11" s="162">
        <f t="shared" si="6"/>
        <v>856520</v>
      </c>
      <c r="L11" s="169"/>
      <c r="M11" s="169"/>
      <c r="N11" s="38">
        <f>92-5</f>
        <v>87</v>
      </c>
      <c r="O11" s="38"/>
      <c r="P11" s="38"/>
      <c r="Q11" s="177">
        <v>21</v>
      </c>
      <c r="R11" s="178">
        <v>18</v>
      </c>
      <c r="S11" s="182">
        <v>0.66</v>
      </c>
      <c r="T11" s="170">
        <f t="shared" si="1"/>
        <v>0.8571428571428571</v>
      </c>
      <c r="U11" s="174">
        <f t="shared" si="7"/>
        <v>0.39600000000000002</v>
      </c>
      <c r="V11" s="225">
        <f t="shared" si="8"/>
        <v>0.34285714285714286</v>
      </c>
      <c r="W11" s="43">
        <f t="shared" si="11"/>
        <v>0.73885714285714288</v>
      </c>
      <c r="Y11" s="62" t="s">
        <v>48</v>
      </c>
      <c r="Z11" s="1" t="s">
        <v>35</v>
      </c>
      <c r="AA11" s="63">
        <v>0.7</v>
      </c>
    </row>
    <row r="12" spans="1:27" ht="19.5" customHeight="1" x14ac:dyDescent="0.3">
      <c r="B12" s="44">
        <v>7</v>
      </c>
      <c r="C12" s="166" t="s">
        <v>98</v>
      </c>
      <c r="D12" s="166" t="s">
        <v>92</v>
      </c>
      <c r="E12" s="167">
        <f>U12</f>
        <v>0.44999999999999996</v>
      </c>
      <c r="F12" s="168">
        <f>V12</f>
        <v>0.26666666666666666</v>
      </c>
      <c r="G12" s="168">
        <f>E12+F12</f>
        <v>0.71666666666666656</v>
      </c>
      <c r="H12" s="34" t="str">
        <f t="shared" si="4"/>
        <v>Cukup</v>
      </c>
      <c r="I12" s="35" t="str">
        <f t="shared" si="5"/>
        <v>70%</v>
      </c>
      <c r="J12" s="156">
        <f t="shared" si="10"/>
        <v>1223600</v>
      </c>
      <c r="K12" s="162">
        <f>I12*J12</f>
        <v>856520</v>
      </c>
      <c r="L12" s="169">
        <f>K12*5%</f>
        <v>42826</v>
      </c>
      <c r="M12" s="169">
        <f>K12-L12</f>
        <v>813694</v>
      </c>
      <c r="N12" s="169"/>
      <c r="O12" s="169"/>
      <c r="P12" s="169"/>
      <c r="Q12" s="177">
        <v>21</v>
      </c>
      <c r="R12" s="178">
        <v>14</v>
      </c>
      <c r="S12" s="179">
        <v>0.75</v>
      </c>
      <c r="T12" s="170">
        <f>R12/Q12</f>
        <v>0.66666666666666663</v>
      </c>
      <c r="U12" s="174">
        <f t="shared" si="7"/>
        <v>0.44999999999999996</v>
      </c>
      <c r="V12" s="225">
        <f t="shared" si="8"/>
        <v>0.26666666666666666</v>
      </c>
      <c r="W12" s="172">
        <f>U12+V12</f>
        <v>0.71666666666666656</v>
      </c>
      <c r="X12" s="171"/>
      <c r="Y12" s="173" t="s">
        <v>102</v>
      </c>
      <c r="Z12" s="171" t="s">
        <v>52</v>
      </c>
      <c r="AA12" s="174">
        <v>0.4</v>
      </c>
    </row>
    <row r="13" spans="1:27" ht="19.5" customHeight="1" x14ac:dyDescent="0.3">
      <c r="B13" s="44">
        <v>8</v>
      </c>
      <c r="C13" s="183" t="s">
        <v>95</v>
      </c>
      <c r="D13" s="183" t="s">
        <v>92</v>
      </c>
      <c r="E13" s="184">
        <f>U13</f>
        <v>0</v>
      </c>
      <c r="F13" s="185">
        <f>V13</f>
        <v>0.4</v>
      </c>
      <c r="G13" s="185">
        <f>E13+F13</f>
        <v>0.4</v>
      </c>
      <c r="H13" s="34" t="str">
        <f t="shared" si="4"/>
        <v>Kurang</v>
      </c>
      <c r="I13" s="35" t="str">
        <f t="shared" si="5"/>
        <v>40%</v>
      </c>
      <c r="J13" s="186">
        <f>325800*14/4</f>
        <v>1140300</v>
      </c>
      <c r="K13" s="187">
        <f t="shared" si="6"/>
        <v>456120</v>
      </c>
      <c r="L13" s="188"/>
      <c r="M13" s="188"/>
      <c r="N13" s="188"/>
      <c r="O13" s="188"/>
      <c r="P13" s="188"/>
      <c r="Q13" s="189">
        <v>21</v>
      </c>
      <c r="R13" s="190">
        <v>21</v>
      </c>
      <c r="S13" s="191">
        <v>0</v>
      </c>
      <c r="T13" s="192">
        <f t="shared" ref="T13:T19" si="12">R13/Q13</f>
        <v>1</v>
      </c>
      <c r="U13" s="174">
        <f t="shared" si="7"/>
        <v>0</v>
      </c>
      <c r="V13" s="225">
        <f t="shared" si="8"/>
        <v>0.4</v>
      </c>
      <c r="W13" s="194">
        <f t="shared" si="11"/>
        <v>0.4</v>
      </c>
      <c r="X13" s="195"/>
      <c r="Y13" s="196" t="s">
        <v>101</v>
      </c>
      <c r="Z13" s="195" t="s">
        <v>56</v>
      </c>
      <c r="AA13" s="193">
        <v>0.1</v>
      </c>
    </row>
    <row r="14" spans="1:27" ht="19.5" customHeight="1" x14ac:dyDescent="0.3">
      <c r="A14" s="1" t="s">
        <v>57</v>
      </c>
      <c r="B14" s="44">
        <v>9</v>
      </c>
      <c r="C14" s="197" t="s">
        <v>99</v>
      </c>
      <c r="D14" s="197" t="s">
        <v>92</v>
      </c>
      <c r="E14" s="198">
        <f t="shared" ref="E14:E19" si="13">U14</f>
        <v>0</v>
      </c>
      <c r="F14" s="199">
        <f t="shared" ref="F14:F20" si="14">V14</f>
        <v>0.13333333333333333</v>
      </c>
      <c r="G14" s="199">
        <f t="shared" si="3"/>
        <v>0.13333333333333333</v>
      </c>
      <c r="H14" s="34" t="str">
        <f t="shared" si="4"/>
        <v>Buruk</v>
      </c>
      <c r="I14" s="35" t="str">
        <f t="shared" si="5"/>
        <v>10%</v>
      </c>
      <c r="J14" s="200">
        <f t="shared" ref="J14:J17" si="15">325800*14/4</f>
        <v>1140300</v>
      </c>
      <c r="K14" s="201">
        <f t="shared" si="6"/>
        <v>114030</v>
      </c>
      <c r="L14" s="202"/>
      <c r="M14" s="202"/>
      <c r="N14" s="202"/>
      <c r="O14" s="202"/>
      <c r="P14" s="202"/>
      <c r="Q14" s="203">
        <v>21</v>
      </c>
      <c r="R14" s="204">
        <v>7</v>
      </c>
      <c r="S14" s="205">
        <v>0</v>
      </c>
      <c r="T14" s="206">
        <f t="shared" si="12"/>
        <v>0.33333333333333331</v>
      </c>
      <c r="U14" s="174">
        <f t="shared" si="7"/>
        <v>0</v>
      </c>
      <c r="V14" s="225">
        <f t="shared" si="8"/>
        <v>0.13333333333333333</v>
      </c>
      <c r="W14" s="207">
        <f t="shared" si="11"/>
        <v>0.13333333333333333</v>
      </c>
      <c r="X14" s="208"/>
      <c r="Y14" s="209" t="s">
        <v>100</v>
      </c>
      <c r="Z14" s="208" t="s">
        <v>93</v>
      </c>
      <c r="AA14" s="210">
        <v>0</v>
      </c>
    </row>
    <row r="15" spans="1:27" ht="19.5" customHeight="1" x14ac:dyDescent="0.3">
      <c r="B15" s="44">
        <v>10</v>
      </c>
      <c r="C15" s="34"/>
      <c r="D15" s="34" t="s">
        <v>92</v>
      </c>
      <c r="E15" s="184">
        <f t="shared" si="13"/>
        <v>0.6</v>
      </c>
      <c r="F15" s="185">
        <f t="shared" si="14"/>
        <v>0.34285714285714286</v>
      </c>
      <c r="G15" s="46">
        <f t="shared" si="3"/>
        <v>0.94285714285714284</v>
      </c>
      <c r="H15" s="34" t="str">
        <f t="shared" si="4"/>
        <v>Sangat baik</v>
      </c>
      <c r="I15" s="35" t="str">
        <f t="shared" si="5"/>
        <v>100%</v>
      </c>
      <c r="J15" s="156">
        <f t="shared" si="15"/>
        <v>1140300</v>
      </c>
      <c r="K15" s="162">
        <f t="shared" si="6"/>
        <v>1140300</v>
      </c>
      <c r="L15" s="169"/>
      <c r="M15" s="169"/>
      <c r="N15" s="38"/>
      <c r="O15" s="38"/>
      <c r="P15" s="38"/>
      <c r="Q15" s="177">
        <v>21</v>
      </c>
      <c r="R15" s="178">
        <v>18</v>
      </c>
      <c r="S15" s="179">
        <v>1</v>
      </c>
      <c r="T15" s="165">
        <f t="shared" si="12"/>
        <v>0.8571428571428571</v>
      </c>
      <c r="U15" s="174">
        <f t="shared" si="7"/>
        <v>0.6</v>
      </c>
      <c r="V15" s="225">
        <f t="shared" si="8"/>
        <v>0.34285714285714286</v>
      </c>
      <c r="W15" s="43">
        <f t="shared" si="11"/>
        <v>0.94285714285714284</v>
      </c>
    </row>
    <row r="16" spans="1:27" ht="19.5" customHeight="1" x14ac:dyDescent="0.3">
      <c r="B16" s="44"/>
      <c r="C16" s="34"/>
      <c r="D16" s="34"/>
      <c r="E16" s="184"/>
      <c r="F16" s="185"/>
      <c r="G16" s="46"/>
      <c r="H16" s="34"/>
      <c r="I16" s="35"/>
      <c r="J16" s="156"/>
      <c r="K16" s="162"/>
      <c r="L16" s="169"/>
      <c r="M16" s="169"/>
      <c r="N16" s="38"/>
      <c r="O16" s="38"/>
      <c r="P16" s="38"/>
      <c r="Q16" s="177">
        <v>21</v>
      </c>
      <c r="R16" s="178">
        <v>18</v>
      </c>
      <c r="S16" s="179">
        <v>0.86</v>
      </c>
      <c r="T16" s="165">
        <f t="shared" si="12"/>
        <v>0.8571428571428571</v>
      </c>
      <c r="U16" s="174">
        <f t="shared" si="7"/>
        <v>0.51600000000000001</v>
      </c>
      <c r="V16" s="225">
        <f t="shared" si="8"/>
        <v>0.34285714285714286</v>
      </c>
      <c r="W16" s="43">
        <f t="shared" si="11"/>
        <v>0.85885714285714287</v>
      </c>
    </row>
    <row r="17" spans="2:25" ht="19.2" customHeight="1" x14ac:dyDescent="0.3">
      <c r="B17" s="64"/>
      <c r="C17" s="65"/>
      <c r="D17" s="34"/>
      <c r="E17" s="184"/>
      <c r="F17" s="185"/>
      <c r="G17" s="67"/>
      <c r="H17" s="34"/>
      <c r="I17" s="35"/>
      <c r="J17" s="156"/>
      <c r="K17" s="162"/>
      <c r="L17" s="169"/>
      <c r="M17" s="169"/>
      <c r="N17" s="38"/>
      <c r="O17" s="38"/>
      <c r="P17" s="38"/>
      <c r="Q17" s="177">
        <v>21</v>
      </c>
      <c r="R17" s="178">
        <v>14</v>
      </c>
      <c r="S17" s="179">
        <v>0</v>
      </c>
      <c r="T17" s="165">
        <f t="shared" si="12"/>
        <v>0.66666666666666663</v>
      </c>
      <c r="U17" s="174">
        <f t="shared" si="7"/>
        <v>0</v>
      </c>
      <c r="V17" s="225">
        <f t="shared" si="8"/>
        <v>0.26666666666666666</v>
      </c>
      <c r="W17" s="43">
        <f t="shared" si="11"/>
        <v>0.26666666666666666</v>
      </c>
    </row>
    <row r="18" spans="2:25" ht="19.5" customHeight="1" x14ac:dyDescent="0.3">
      <c r="B18" s="44"/>
      <c r="C18" s="34"/>
      <c r="D18" s="34"/>
      <c r="E18" s="184"/>
      <c r="F18" s="185"/>
      <c r="G18" s="46"/>
      <c r="H18" s="56"/>
      <c r="I18" s="47"/>
      <c r="J18" s="156"/>
      <c r="K18" s="162"/>
      <c r="L18" s="169"/>
      <c r="M18" s="169"/>
      <c r="N18" s="38"/>
      <c r="O18" s="38"/>
      <c r="P18" s="38"/>
      <c r="Q18" s="177">
        <v>21</v>
      </c>
      <c r="R18" s="178">
        <v>10</v>
      </c>
      <c r="S18" s="179">
        <v>0.1</v>
      </c>
      <c r="T18" s="165">
        <f t="shared" si="12"/>
        <v>0.47619047619047616</v>
      </c>
      <c r="U18" s="174">
        <f t="shared" si="7"/>
        <v>0.06</v>
      </c>
      <c r="V18" s="225">
        <f t="shared" si="8"/>
        <v>0.19047619047619047</v>
      </c>
      <c r="W18" s="43">
        <f t="shared" si="11"/>
        <v>0.25047619047619046</v>
      </c>
    </row>
    <row r="19" spans="2:25" ht="19.5" customHeight="1" x14ac:dyDescent="0.3">
      <c r="B19" s="44"/>
      <c r="C19" s="34"/>
      <c r="D19" s="34"/>
      <c r="E19" s="184"/>
      <c r="F19" s="185"/>
      <c r="G19" s="46"/>
      <c r="H19" s="34"/>
      <c r="I19" s="47"/>
      <c r="J19" s="156"/>
      <c r="K19" s="162"/>
      <c r="L19" s="169"/>
      <c r="M19" s="169"/>
      <c r="N19" s="38"/>
      <c r="O19" s="38"/>
      <c r="P19" s="38"/>
      <c r="Q19" s="177">
        <v>21</v>
      </c>
      <c r="R19" s="178">
        <v>20</v>
      </c>
      <c r="S19" s="179">
        <v>0.97</v>
      </c>
      <c r="T19" s="165">
        <f t="shared" si="12"/>
        <v>0.95238095238095233</v>
      </c>
      <c r="U19" s="174">
        <f t="shared" si="7"/>
        <v>0.58199999999999996</v>
      </c>
      <c r="V19" s="225">
        <f t="shared" si="8"/>
        <v>0.38095238095238093</v>
      </c>
      <c r="W19" s="43">
        <f t="shared" si="11"/>
        <v>0.96295238095238089</v>
      </c>
    </row>
    <row r="20" spans="2:25" ht="19.5" customHeight="1" x14ac:dyDescent="0.3">
      <c r="B20" s="30"/>
      <c r="C20" s="31"/>
      <c r="D20" s="71" t="s">
        <v>16</v>
      </c>
      <c r="E20" s="158"/>
      <c r="F20" s="185">
        <f t="shared" si="14"/>
        <v>0</v>
      </c>
      <c r="G20" s="158"/>
      <c r="H20" s="159"/>
      <c r="I20" s="72"/>
      <c r="J20" s="157">
        <f>SUM(J6:J19)</f>
        <v>12484850</v>
      </c>
      <c r="K20" s="163">
        <f>SUM(K6:K19)</f>
        <v>8475705</v>
      </c>
      <c r="L20" s="164"/>
      <c r="M20" s="164"/>
      <c r="N20" s="38"/>
      <c r="O20" s="38"/>
      <c r="P20" s="38"/>
      <c r="Q20" s="177"/>
      <c r="R20" s="178"/>
      <c r="S20" s="179">
        <v>0.86</v>
      </c>
      <c r="T20"/>
      <c r="U20" s="174">
        <f t="shared" si="7"/>
        <v>0.51600000000000001</v>
      </c>
      <c r="V20" s="42"/>
      <c r="W20" s="43"/>
    </row>
    <row r="21" spans="2:25" ht="19.5" customHeight="1" x14ac:dyDescent="0.3">
      <c r="B21" s="74"/>
      <c r="C21" s="75"/>
      <c r="D21" s="76"/>
      <c r="E21" s="77"/>
      <c r="F21" s="75"/>
      <c r="G21" s="78"/>
      <c r="H21" s="79"/>
      <c r="I21" s="79"/>
      <c r="J21" s="80"/>
      <c r="K21" s="164"/>
      <c r="L21" s="164"/>
      <c r="M21" s="164"/>
      <c r="N21" s="38"/>
      <c r="O21" s="38"/>
      <c r="P21" s="38"/>
      <c r="Q21" s="177"/>
      <c r="R21" s="178"/>
      <c r="S21" s="179">
        <v>0.96</v>
      </c>
      <c r="T21"/>
      <c r="U21" s="174">
        <f t="shared" si="7"/>
        <v>0.57599999999999996</v>
      </c>
      <c r="V21" s="42"/>
      <c r="W21" s="43"/>
    </row>
    <row r="22" spans="2:25" ht="19.5" customHeight="1" x14ac:dyDescent="0.3">
      <c r="B22" s="30"/>
      <c r="C22" s="31" t="s">
        <v>91</v>
      </c>
      <c r="D22" s="71"/>
      <c r="E22" s="45">
        <f>SUM(E6:E19)/14</f>
        <v>0.24771428571428575</v>
      </c>
      <c r="F22" s="33">
        <v>0.3</v>
      </c>
      <c r="G22" s="33">
        <f>E22+F22</f>
        <v>0.54771428571428571</v>
      </c>
      <c r="H22" s="72" t="s">
        <v>32</v>
      </c>
      <c r="I22" s="35">
        <v>0.9</v>
      </c>
      <c r="J22" s="157">
        <v>622624</v>
      </c>
      <c r="K22" s="163">
        <f>I22*J22</f>
        <v>560361.6</v>
      </c>
      <c r="L22" s="164"/>
      <c r="M22" s="164"/>
      <c r="N22" s="38"/>
      <c r="O22" s="38"/>
      <c r="P22" s="38"/>
      <c r="Q22" s="177"/>
      <c r="R22" s="178"/>
      <c r="S22" s="179">
        <v>0.71</v>
      </c>
      <c r="T22"/>
      <c r="U22" s="174">
        <f t="shared" si="7"/>
        <v>0.42599999999999999</v>
      </c>
      <c r="V22" s="42"/>
      <c r="W22" s="43"/>
    </row>
    <row r="23" spans="2:25" s="83" customFormat="1" ht="20.25" customHeight="1" x14ac:dyDescent="0.3">
      <c r="B23" s="7"/>
      <c r="C23" s="8"/>
      <c r="D23" s="9"/>
      <c r="E23" s="63"/>
      <c r="F23" s="1"/>
      <c r="G23" s="8"/>
      <c r="H23" s="8"/>
      <c r="I23" s="213"/>
      <c r="J23" s="213"/>
      <c r="K23" s="1"/>
      <c r="L23" s="1"/>
      <c r="M23" s="1"/>
      <c r="N23" s="80"/>
      <c r="O23" s="75"/>
      <c r="P23" s="75"/>
      <c r="Q23" s="81"/>
      <c r="R23" s="82"/>
      <c r="S23" s="41"/>
      <c r="U23" s="174">
        <f t="shared" si="7"/>
        <v>0</v>
      </c>
    </row>
    <row r="24" spans="2:25" s="83" customFormat="1" ht="20.25" customHeight="1" x14ac:dyDescent="0.3">
      <c r="B24" s="7"/>
      <c r="C24" s="8"/>
      <c r="D24" s="9"/>
      <c r="E24" s="1"/>
      <c r="F24" s="1"/>
      <c r="G24" s="8"/>
      <c r="H24" s="8"/>
      <c r="I24" s="213"/>
      <c r="J24" s="213"/>
      <c r="K24" s="1"/>
      <c r="L24" s="1"/>
      <c r="M24" s="1"/>
      <c r="N24" s="80"/>
      <c r="O24" s="75"/>
      <c r="P24" s="75"/>
      <c r="Q24" s="81"/>
      <c r="R24" s="82"/>
      <c r="S24" s="41"/>
      <c r="U24" s="174">
        <f t="shared" si="7"/>
        <v>0</v>
      </c>
    </row>
    <row r="25" spans="2:25" ht="12" customHeight="1" x14ac:dyDescent="0.3">
      <c r="B25" s="7"/>
      <c r="C25" s="8"/>
      <c r="D25" s="9"/>
      <c r="G25" s="8"/>
      <c r="H25" s="8"/>
      <c r="I25" s="9"/>
      <c r="J25" s="10"/>
      <c r="N25" s="41"/>
      <c r="Q25" s="1"/>
      <c r="R25" s="1"/>
    </row>
    <row r="26" spans="2:25" ht="15.6" x14ac:dyDescent="0.3">
      <c r="B26" s="7"/>
      <c r="C26" s="8"/>
      <c r="D26" s="9"/>
      <c r="G26" s="8"/>
      <c r="H26" s="8"/>
      <c r="I26" s="9"/>
      <c r="J26" s="10"/>
      <c r="Q26" s="1"/>
      <c r="R26" s="1"/>
    </row>
    <row r="27" spans="2:25" ht="15.6" x14ac:dyDescent="0.3">
      <c r="B27" s="7"/>
      <c r="C27" s="8"/>
      <c r="D27" s="9"/>
      <c r="G27" s="8"/>
      <c r="H27" s="8"/>
      <c r="I27" s="9"/>
      <c r="J27" s="10"/>
      <c r="Q27" s="1"/>
      <c r="R27" s="1"/>
      <c r="Y27" s="63"/>
    </row>
    <row r="28" spans="2:25" ht="15.6" x14ac:dyDescent="0.3">
      <c r="B28" s="7"/>
      <c r="C28" s="8"/>
      <c r="D28" s="9"/>
      <c r="G28" s="84"/>
      <c r="H28" s="8"/>
      <c r="I28" s="214"/>
      <c r="J28" s="214"/>
      <c r="Q28" s="1"/>
      <c r="R28" s="1"/>
    </row>
    <row r="64" spans="2:20" ht="15.6" x14ac:dyDescent="0.3">
      <c r="B64" s="212" t="s">
        <v>0</v>
      </c>
      <c r="C64" s="212"/>
      <c r="D64" s="212"/>
      <c r="E64" s="212"/>
      <c r="F64" s="212"/>
      <c r="G64" s="212"/>
      <c r="H64" s="212"/>
      <c r="I64" s="212"/>
      <c r="J64" s="212"/>
      <c r="K64" s="212"/>
      <c r="L64" s="2"/>
      <c r="M64" s="2"/>
      <c r="N64" s="2"/>
      <c r="O64" s="2"/>
      <c r="P64" s="2"/>
      <c r="Q64" s="3"/>
      <c r="R64" s="4"/>
      <c r="S64" s="5"/>
      <c r="T64" s="5"/>
    </row>
    <row r="65" spans="1:27" ht="15.6" x14ac:dyDescent="0.3">
      <c r="B65" s="212" t="s">
        <v>72</v>
      </c>
      <c r="C65" s="212"/>
      <c r="D65" s="212"/>
      <c r="E65" s="212"/>
      <c r="F65" s="212"/>
      <c r="G65" s="212"/>
      <c r="H65" s="212"/>
      <c r="I65" s="212"/>
      <c r="J65" s="212"/>
      <c r="K65" s="212"/>
      <c r="L65" s="2"/>
      <c r="M65" s="2"/>
      <c r="N65" s="2"/>
      <c r="O65" s="6"/>
      <c r="P65" s="6"/>
      <c r="Q65" s="3"/>
      <c r="R65" s="4"/>
      <c r="S65" s="5"/>
      <c r="T65" s="5"/>
    </row>
    <row r="66" spans="1:27" ht="12" customHeight="1" x14ac:dyDescent="0.3">
      <c r="B66" s="7"/>
      <c r="C66" s="8"/>
      <c r="D66" s="8"/>
      <c r="E66" s="8"/>
      <c r="F66" s="8"/>
      <c r="G66" s="8"/>
      <c r="H66" s="9"/>
      <c r="I66" s="9"/>
      <c r="J66" s="10"/>
      <c r="K66" s="8"/>
      <c r="L66" s="8"/>
      <c r="M66" s="8"/>
      <c r="N66" s="8"/>
      <c r="O66" s="8"/>
      <c r="P66" s="8"/>
      <c r="Q66" s="11"/>
    </row>
    <row r="67" spans="1:27" s="13" customFormat="1" ht="95.25" customHeight="1" x14ac:dyDescent="0.3">
      <c r="B67" s="14" t="s">
        <v>2</v>
      </c>
      <c r="C67" s="14" t="s">
        <v>3</v>
      </c>
      <c r="D67" s="14" t="s">
        <v>4</v>
      </c>
      <c r="E67" s="15" t="s">
        <v>5</v>
      </c>
      <c r="F67" s="15" t="s">
        <v>6</v>
      </c>
      <c r="G67" s="15" t="s">
        <v>7</v>
      </c>
      <c r="H67" s="15" t="s">
        <v>8</v>
      </c>
      <c r="I67" s="15" t="s">
        <v>9</v>
      </c>
      <c r="J67" s="16" t="s">
        <v>10</v>
      </c>
      <c r="K67" s="15" t="s">
        <v>11</v>
      </c>
      <c r="L67" s="17"/>
      <c r="M67" s="17"/>
      <c r="N67" s="17"/>
      <c r="O67" s="17"/>
      <c r="P67" s="17"/>
      <c r="Q67" s="17"/>
      <c r="R67" s="18"/>
      <c r="S67" s="19" t="s">
        <v>12</v>
      </c>
      <c r="T67" s="19" t="s">
        <v>13</v>
      </c>
      <c r="U67" s="20" t="s">
        <v>14</v>
      </c>
      <c r="V67" s="21" t="s">
        <v>15</v>
      </c>
      <c r="W67" s="20" t="s">
        <v>16</v>
      </c>
    </row>
    <row r="68" spans="1:27" s="22" customFormat="1" ht="15" customHeight="1" x14ac:dyDescent="0.3">
      <c r="B68" s="23" t="s">
        <v>17</v>
      </c>
      <c r="C68" s="23" t="s">
        <v>18</v>
      </c>
      <c r="D68" s="23" t="s">
        <v>19</v>
      </c>
      <c r="E68" s="23" t="s">
        <v>20</v>
      </c>
      <c r="F68" s="23" t="s">
        <v>21</v>
      </c>
      <c r="G68" s="23" t="s">
        <v>22</v>
      </c>
      <c r="H68" s="24" t="s">
        <v>23</v>
      </c>
      <c r="I68" s="24" t="s">
        <v>24</v>
      </c>
      <c r="J68" s="25" t="s">
        <v>25</v>
      </c>
      <c r="K68" s="24" t="s">
        <v>26</v>
      </c>
      <c r="L68" s="26"/>
      <c r="M68" s="26"/>
      <c r="N68" s="26"/>
      <c r="O68" s="26"/>
      <c r="P68" s="26"/>
      <c r="Q68" s="27"/>
      <c r="R68" s="28"/>
      <c r="S68" s="29"/>
      <c r="T68" s="29"/>
    </row>
    <row r="69" spans="1:27" ht="19.5" customHeight="1" x14ac:dyDescent="0.3">
      <c r="B69" s="30">
        <v>1</v>
      </c>
      <c r="C69" s="31" t="s">
        <v>27</v>
      </c>
      <c r="D69" s="31" t="s">
        <v>28</v>
      </c>
      <c r="E69" s="32">
        <v>0.66</v>
      </c>
      <c r="F69" s="33">
        <v>0.27</v>
      </c>
      <c r="G69" s="33">
        <f>E69+F69</f>
        <v>0.93</v>
      </c>
      <c r="H69" s="34" t="s">
        <v>29</v>
      </c>
      <c r="I69" s="35">
        <v>1</v>
      </c>
      <c r="J69" s="36">
        <v>581340</v>
      </c>
      <c r="K69" s="37">
        <f>I69*J69</f>
        <v>581340</v>
      </c>
      <c r="L69" s="38"/>
      <c r="M69" s="38"/>
      <c r="N69" s="38"/>
      <c r="O69" s="38"/>
      <c r="P69" s="38"/>
      <c r="Q69" s="39">
        <v>23</v>
      </c>
      <c r="R69" s="40">
        <v>21</v>
      </c>
      <c r="S69" s="41">
        <v>0.95</v>
      </c>
      <c r="T69">
        <f>R69/Q69</f>
        <v>0.91304347826086951</v>
      </c>
      <c r="U69" s="1">
        <f>S69*70</f>
        <v>66.5</v>
      </c>
      <c r="V69" s="42">
        <f>T69*30%</f>
        <v>0.27391304347826084</v>
      </c>
      <c r="W69" s="43">
        <f>U69+V69</f>
        <v>66.77391304347826</v>
      </c>
    </row>
    <row r="70" spans="1:27" ht="19.5" customHeight="1" x14ac:dyDescent="0.3">
      <c r="B70" s="44">
        <v>2</v>
      </c>
      <c r="C70" s="34" t="s">
        <v>30</v>
      </c>
      <c r="D70" s="34" t="s">
        <v>31</v>
      </c>
      <c r="E70" s="45">
        <v>0.62</v>
      </c>
      <c r="F70" s="46">
        <v>0.3</v>
      </c>
      <c r="G70" s="46">
        <f t="shared" ref="G70:G82" si="16">E70+F70</f>
        <v>0.91999999999999993</v>
      </c>
      <c r="H70" s="34" t="s">
        <v>29</v>
      </c>
      <c r="I70" s="47">
        <v>1</v>
      </c>
      <c r="J70" s="48">
        <v>502660</v>
      </c>
      <c r="K70" s="37">
        <f t="shared" ref="K70:K82" si="17">I70*J70</f>
        <v>502660</v>
      </c>
      <c r="L70" s="38"/>
      <c r="M70" s="38"/>
      <c r="N70" s="38"/>
      <c r="O70" s="38"/>
      <c r="P70" s="38"/>
      <c r="Q70" s="39">
        <v>23</v>
      </c>
      <c r="R70" s="40">
        <v>23</v>
      </c>
      <c r="S70" s="41">
        <v>0.88</v>
      </c>
      <c r="T70">
        <f t="shared" ref="T70:T82" si="18">R70/Q70</f>
        <v>1</v>
      </c>
      <c r="U70" s="1">
        <f t="shared" ref="U70:U85" si="19">S70*70</f>
        <v>61.6</v>
      </c>
      <c r="V70" s="42">
        <f t="shared" ref="V70:V82" si="20">T70*30%</f>
        <v>0.3</v>
      </c>
      <c r="W70" s="43">
        <f t="shared" ref="W70" si="21">U70+V70</f>
        <v>61.9</v>
      </c>
    </row>
    <row r="71" spans="1:27" ht="19.5" customHeight="1" x14ac:dyDescent="0.3">
      <c r="B71" s="44">
        <v>3</v>
      </c>
      <c r="C71" s="34" t="s">
        <v>33</v>
      </c>
      <c r="D71" s="34" t="s">
        <v>34</v>
      </c>
      <c r="E71" s="45">
        <v>0.55000000000000004</v>
      </c>
      <c r="F71" s="46">
        <v>0.28000000000000003</v>
      </c>
      <c r="G71" s="46">
        <f t="shared" si="16"/>
        <v>0.83000000000000007</v>
      </c>
      <c r="H71" s="34" t="s">
        <v>32</v>
      </c>
      <c r="I71" s="47">
        <v>0.9</v>
      </c>
      <c r="J71" s="48">
        <v>502660</v>
      </c>
      <c r="K71" s="37">
        <f t="shared" si="17"/>
        <v>452394</v>
      </c>
      <c r="L71" s="38"/>
      <c r="M71" s="38"/>
      <c r="N71" s="38"/>
      <c r="O71" s="38"/>
      <c r="P71" s="38"/>
      <c r="Q71" s="39">
        <v>23</v>
      </c>
      <c r="R71" s="40">
        <v>22</v>
      </c>
      <c r="S71" s="41">
        <v>0.78</v>
      </c>
      <c r="T71">
        <f t="shared" si="18"/>
        <v>0.95652173913043481</v>
      </c>
      <c r="U71" s="1">
        <f t="shared" si="19"/>
        <v>54.6</v>
      </c>
      <c r="V71" s="42">
        <f t="shared" si="20"/>
        <v>0.28695652173913044</v>
      </c>
      <c r="W71" s="43">
        <f>U71+V71</f>
        <v>54.88695652173913</v>
      </c>
      <c r="Y71" s="5" t="s">
        <v>36</v>
      </c>
      <c r="Z71" s="49" t="s">
        <v>37</v>
      </c>
      <c r="AA71" s="49" t="s">
        <v>38</v>
      </c>
    </row>
    <row r="72" spans="1:27" s="50" customFormat="1" ht="19.5" customHeight="1" x14ac:dyDescent="0.3">
      <c r="B72" s="44">
        <v>4</v>
      </c>
      <c r="C72" s="34" t="s">
        <v>39</v>
      </c>
      <c r="D72" s="34" t="s">
        <v>40</v>
      </c>
      <c r="E72" s="45">
        <v>0.64</v>
      </c>
      <c r="F72" s="46">
        <v>0.28000000000000003</v>
      </c>
      <c r="G72" s="46">
        <f t="shared" si="16"/>
        <v>0.92</v>
      </c>
      <c r="H72" s="34" t="s">
        <v>29</v>
      </c>
      <c r="I72" s="47">
        <v>1</v>
      </c>
      <c r="J72" s="48">
        <v>502660</v>
      </c>
      <c r="K72" s="37">
        <f t="shared" si="17"/>
        <v>502660</v>
      </c>
      <c r="L72" s="38"/>
      <c r="M72" s="38"/>
      <c r="N72" s="38"/>
      <c r="O72" s="38"/>
      <c r="P72" s="38"/>
      <c r="Q72" s="39">
        <v>23</v>
      </c>
      <c r="R72" s="51">
        <v>22</v>
      </c>
      <c r="S72" s="41">
        <v>0.91</v>
      </c>
      <c r="T72">
        <f t="shared" si="18"/>
        <v>0.95652173913043481</v>
      </c>
      <c r="U72" s="1">
        <f t="shared" si="19"/>
        <v>63.7</v>
      </c>
      <c r="V72" s="42">
        <f t="shared" si="20"/>
        <v>0.28695652173913044</v>
      </c>
      <c r="W72" s="43">
        <f t="shared" ref="W72:W82" si="22">U72+V72</f>
        <v>63.986956521739131</v>
      </c>
      <c r="Y72" s="52" t="s">
        <v>41</v>
      </c>
      <c r="Z72" s="50" t="s">
        <v>29</v>
      </c>
      <c r="AA72" s="53">
        <v>1</v>
      </c>
    </row>
    <row r="73" spans="1:27" s="54" customFormat="1" ht="19.5" customHeight="1" x14ac:dyDescent="0.3">
      <c r="B73" s="55">
        <v>5</v>
      </c>
      <c r="C73" s="56" t="s">
        <v>42</v>
      </c>
      <c r="D73" s="56" t="s">
        <v>43</v>
      </c>
      <c r="E73" s="45">
        <v>0</v>
      </c>
      <c r="F73" s="46">
        <v>0.3</v>
      </c>
      <c r="G73" s="46">
        <f t="shared" si="16"/>
        <v>0.3</v>
      </c>
      <c r="H73" s="34" t="s">
        <v>44</v>
      </c>
      <c r="I73" s="47">
        <v>0.1</v>
      </c>
      <c r="J73" s="48">
        <v>502660</v>
      </c>
      <c r="K73" s="37">
        <f t="shared" si="17"/>
        <v>50266</v>
      </c>
      <c r="L73" s="38"/>
      <c r="M73" s="38"/>
      <c r="N73" s="38"/>
      <c r="O73" s="38"/>
      <c r="P73" s="38"/>
      <c r="Q73" s="39">
        <v>23</v>
      </c>
      <c r="R73" s="57">
        <v>23</v>
      </c>
      <c r="S73" s="58">
        <v>0</v>
      </c>
      <c r="T73">
        <f t="shared" si="18"/>
        <v>1</v>
      </c>
      <c r="U73" s="1">
        <f t="shared" si="19"/>
        <v>0</v>
      </c>
      <c r="V73" s="42">
        <f t="shared" si="20"/>
        <v>0.3</v>
      </c>
      <c r="W73" s="43">
        <f t="shared" si="22"/>
        <v>0.3</v>
      </c>
      <c r="Y73" s="59" t="s">
        <v>45</v>
      </c>
      <c r="Z73" s="54" t="s">
        <v>32</v>
      </c>
      <c r="AA73" s="60">
        <v>0.9</v>
      </c>
    </row>
    <row r="74" spans="1:27" ht="19.5" customHeight="1" x14ac:dyDescent="0.3">
      <c r="B74" s="44">
        <v>6</v>
      </c>
      <c r="C74" s="34" t="s">
        <v>46</v>
      </c>
      <c r="D74" s="34" t="s">
        <v>47</v>
      </c>
      <c r="E74" s="45">
        <v>0.48</v>
      </c>
      <c r="F74" s="46">
        <v>0.28000000000000003</v>
      </c>
      <c r="G74" s="46">
        <f t="shared" si="16"/>
        <v>0.76</v>
      </c>
      <c r="H74" s="34" t="s">
        <v>35</v>
      </c>
      <c r="I74" s="47">
        <v>0.7</v>
      </c>
      <c r="J74" s="48">
        <v>502660</v>
      </c>
      <c r="K74" s="37">
        <f t="shared" si="17"/>
        <v>351862</v>
      </c>
      <c r="L74" s="38"/>
      <c r="M74" s="38"/>
      <c r="N74" s="38"/>
      <c r="O74" s="38"/>
      <c r="P74" s="38"/>
      <c r="Q74" s="39">
        <v>23</v>
      </c>
      <c r="R74" s="40">
        <v>22</v>
      </c>
      <c r="S74" s="61">
        <v>0.68</v>
      </c>
      <c r="T74">
        <f t="shared" si="18"/>
        <v>0.95652173913043481</v>
      </c>
      <c r="U74" s="1">
        <f t="shared" si="19"/>
        <v>47.6</v>
      </c>
      <c r="V74" s="42">
        <f t="shared" si="20"/>
        <v>0.28695652173913044</v>
      </c>
      <c r="W74" s="43">
        <f t="shared" si="22"/>
        <v>47.88695652173913</v>
      </c>
      <c r="Y74" s="62" t="s">
        <v>48</v>
      </c>
      <c r="Z74" s="1" t="s">
        <v>35</v>
      </c>
      <c r="AA74" s="63">
        <v>0.7</v>
      </c>
    </row>
    <row r="75" spans="1:27" ht="19.5" customHeight="1" x14ac:dyDescent="0.3">
      <c r="B75" s="44">
        <v>7</v>
      </c>
      <c r="C75" s="34" t="s">
        <v>49</v>
      </c>
      <c r="D75" s="34" t="s">
        <v>50</v>
      </c>
      <c r="E75" s="45">
        <v>0.65</v>
      </c>
      <c r="F75" s="46">
        <v>0.09</v>
      </c>
      <c r="G75" s="46">
        <f t="shared" si="16"/>
        <v>0.74</v>
      </c>
      <c r="H75" s="34" t="s">
        <v>35</v>
      </c>
      <c r="I75" s="47">
        <v>0.7</v>
      </c>
      <c r="J75" s="48">
        <v>437100</v>
      </c>
      <c r="K75" s="37">
        <f t="shared" si="17"/>
        <v>305970</v>
      </c>
      <c r="L75" s="38"/>
      <c r="M75" s="38"/>
      <c r="N75" s="38"/>
      <c r="O75" s="38"/>
      <c r="P75" s="38"/>
      <c r="Q75" s="39">
        <v>23</v>
      </c>
      <c r="R75" s="40">
        <v>7</v>
      </c>
      <c r="S75" s="41">
        <f>26/28</f>
        <v>0.9285714285714286</v>
      </c>
      <c r="T75">
        <f t="shared" si="18"/>
        <v>0.30434782608695654</v>
      </c>
      <c r="U75" s="1">
        <f t="shared" si="19"/>
        <v>65</v>
      </c>
      <c r="V75" s="42">
        <f t="shared" si="20"/>
        <v>9.1304347826086957E-2</v>
      </c>
      <c r="W75" s="43">
        <f t="shared" si="22"/>
        <v>65.091304347826082</v>
      </c>
      <c r="Y75" s="62" t="s">
        <v>51</v>
      </c>
      <c r="Z75" s="1" t="s">
        <v>52</v>
      </c>
      <c r="AA75" s="63">
        <v>0.4</v>
      </c>
    </row>
    <row r="76" spans="1:27" ht="19.5" customHeight="1" x14ac:dyDescent="0.3">
      <c r="B76" s="44">
        <v>8</v>
      </c>
      <c r="C76" s="34" t="s">
        <v>53</v>
      </c>
      <c r="D76" s="34" t="s">
        <v>54</v>
      </c>
      <c r="E76" s="45">
        <v>0.7</v>
      </c>
      <c r="F76" s="46">
        <v>0.26</v>
      </c>
      <c r="G76" s="46">
        <f t="shared" si="16"/>
        <v>0.96</v>
      </c>
      <c r="H76" s="34" t="s">
        <v>29</v>
      </c>
      <c r="I76" s="47">
        <v>1</v>
      </c>
      <c r="J76" s="48">
        <v>437100</v>
      </c>
      <c r="K76" s="37">
        <f t="shared" si="17"/>
        <v>437100</v>
      </c>
      <c r="L76" s="38"/>
      <c r="M76" s="38"/>
      <c r="N76" s="38"/>
      <c r="O76" s="38"/>
      <c r="P76" s="38"/>
      <c r="Q76" s="39">
        <v>23</v>
      </c>
      <c r="R76" s="40">
        <v>20</v>
      </c>
      <c r="S76" s="41">
        <v>1</v>
      </c>
      <c r="T76">
        <f t="shared" si="18"/>
        <v>0.86956521739130432</v>
      </c>
      <c r="U76" s="1">
        <f t="shared" si="19"/>
        <v>70</v>
      </c>
      <c r="V76" s="42">
        <f t="shared" si="20"/>
        <v>0.2608695652173913</v>
      </c>
      <c r="W76" s="43">
        <f t="shared" si="22"/>
        <v>70.260869565217391</v>
      </c>
      <c r="Y76" s="62" t="s">
        <v>55</v>
      </c>
      <c r="Z76" s="1" t="s">
        <v>56</v>
      </c>
      <c r="AA76" s="63">
        <v>0.1</v>
      </c>
    </row>
    <row r="77" spans="1:27" ht="19.5" customHeight="1" x14ac:dyDescent="0.3">
      <c r="A77" s="1" t="s">
        <v>57</v>
      </c>
      <c r="B77" s="44">
        <v>9</v>
      </c>
      <c r="C77" s="34" t="s">
        <v>58</v>
      </c>
      <c r="D77" s="34" t="s">
        <v>59</v>
      </c>
      <c r="E77" s="45">
        <v>0</v>
      </c>
      <c r="F77" s="46">
        <v>7.0000000000000007E-2</v>
      </c>
      <c r="G77" s="46">
        <f t="shared" si="16"/>
        <v>7.0000000000000007E-2</v>
      </c>
      <c r="H77" s="34" t="s">
        <v>44</v>
      </c>
      <c r="I77" s="47">
        <v>0.1</v>
      </c>
      <c r="J77" s="48">
        <v>437100</v>
      </c>
      <c r="K77" s="37">
        <f t="shared" si="17"/>
        <v>43710</v>
      </c>
      <c r="L77" s="38"/>
      <c r="M77" s="38"/>
      <c r="N77" s="38"/>
      <c r="O77" s="38"/>
      <c r="P77" s="38"/>
      <c r="Q77" s="39">
        <v>23</v>
      </c>
      <c r="R77" s="40">
        <v>6</v>
      </c>
      <c r="S77" s="41">
        <v>0</v>
      </c>
      <c r="T77">
        <f t="shared" si="18"/>
        <v>0.2608695652173913</v>
      </c>
      <c r="U77" s="1">
        <f t="shared" si="19"/>
        <v>0</v>
      </c>
      <c r="V77" s="42">
        <f t="shared" si="20"/>
        <v>7.8260869565217384E-2</v>
      </c>
      <c r="W77" s="43">
        <f t="shared" si="22"/>
        <v>7.8260869565217384E-2</v>
      </c>
      <c r="Y77" s="12"/>
    </row>
    <row r="78" spans="1:27" ht="19.5" customHeight="1" x14ac:dyDescent="0.3">
      <c r="B78" s="44">
        <v>10</v>
      </c>
      <c r="C78" s="34" t="s">
        <v>60</v>
      </c>
      <c r="D78" s="34" t="s">
        <v>61</v>
      </c>
      <c r="E78" s="45">
        <v>0.54</v>
      </c>
      <c r="F78" s="46">
        <v>0.3</v>
      </c>
      <c r="G78" s="46">
        <f t="shared" si="16"/>
        <v>0.84000000000000008</v>
      </c>
      <c r="H78" s="34" t="s">
        <v>32</v>
      </c>
      <c r="I78" s="47">
        <v>0.9</v>
      </c>
      <c r="J78" s="48">
        <v>437100</v>
      </c>
      <c r="K78" s="37">
        <f t="shared" si="17"/>
        <v>393390</v>
      </c>
      <c r="L78" s="38"/>
      <c r="M78" s="38"/>
      <c r="N78" s="38"/>
      <c r="O78" s="38"/>
      <c r="P78" s="38"/>
      <c r="Q78" s="39">
        <v>23</v>
      </c>
      <c r="R78" s="40">
        <v>23</v>
      </c>
      <c r="S78" s="41">
        <f>21/27</f>
        <v>0.77777777777777779</v>
      </c>
      <c r="T78">
        <f t="shared" si="18"/>
        <v>1</v>
      </c>
      <c r="U78" s="1">
        <f t="shared" si="19"/>
        <v>54.444444444444443</v>
      </c>
      <c r="V78" s="42">
        <f t="shared" si="20"/>
        <v>0.3</v>
      </c>
      <c r="W78" s="43">
        <f t="shared" si="22"/>
        <v>54.74444444444444</v>
      </c>
    </row>
    <row r="79" spans="1:27" ht="19.5" customHeight="1" x14ac:dyDescent="0.3">
      <c r="B79" s="44">
        <v>11</v>
      </c>
      <c r="C79" s="34" t="s">
        <v>62</v>
      </c>
      <c r="D79" s="34" t="s">
        <v>63</v>
      </c>
      <c r="E79" s="45">
        <v>0.62</v>
      </c>
      <c r="F79" s="46">
        <v>0.3</v>
      </c>
      <c r="G79" s="46">
        <f t="shared" si="16"/>
        <v>0.91999999999999993</v>
      </c>
      <c r="H79" s="56" t="s">
        <v>29</v>
      </c>
      <c r="I79" s="47">
        <v>1</v>
      </c>
      <c r="J79" s="48">
        <v>437100</v>
      </c>
      <c r="K79" s="37">
        <f t="shared" si="17"/>
        <v>437100</v>
      </c>
      <c r="L79" s="38"/>
      <c r="M79" s="38"/>
      <c r="N79" s="38"/>
      <c r="O79" s="38"/>
      <c r="P79" s="38"/>
      <c r="Q79" s="39">
        <v>23</v>
      </c>
      <c r="R79" s="40">
        <v>23</v>
      </c>
      <c r="S79" s="41">
        <f>25/28</f>
        <v>0.8928571428571429</v>
      </c>
      <c r="T79">
        <f t="shared" si="18"/>
        <v>1</v>
      </c>
      <c r="U79" s="1">
        <f t="shared" si="19"/>
        <v>62.5</v>
      </c>
      <c r="V79" s="42">
        <f t="shared" si="20"/>
        <v>0.3</v>
      </c>
      <c r="W79" s="43">
        <f t="shared" si="22"/>
        <v>62.8</v>
      </c>
    </row>
    <row r="80" spans="1:27" ht="19.5" customHeight="1" x14ac:dyDescent="0.3">
      <c r="B80" s="64">
        <v>12</v>
      </c>
      <c r="C80" s="65" t="s">
        <v>64</v>
      </c>
      <c r="D80" s="65" t="s">
        <v>65</v>
      </c>
      <c r="E80" s="66">
        <v>0.59</v>
      </c>
      <c r="F80" s="67">
        <v>0.28000000000000003</v>
      </c>
      <c r="G80" s="67">
        <f t="shared" si="16"/>
        <v>0.87</v>
      </c>
      <c r="H80" s="65" t="s">
        <v>32</v>
      </c>
      <c r="I80" s="68">
        <v>0.9</v>
      </c>
      <c r="J80" s="69">
        <v>437100</v>
      </c>
      <c r="K80" s="37">
        <f t="shared" si="17"/>
        <v>393390</v>
      </c>
      <c r="L80" s="38"/>
      <c r="M80" s="38"/>
      <c r="N80" s="38"/>
      <c r="O80" s="38"/>
      <c r="P80" s="38"/>
      <c r="Q80" s="39">
        <v>23</v>
      </c>
      <c r="R80" s="40">
        <v>22</v>
      </c>
      <c r="S80" s="41">
        <f>28/33</f>
        <v>0.84848484848484851</v>
      </c>
      <c r="T80">
        <f t="shared" si="18"/>
        <v>0.95652173913043481</v>
      </c>
      <c r="U80" s="1">
        <f t="shared" si="19"/>
        <v>59.393939393939398</v>
      </c>
      <c r="V80" s="42">
        <f t="shared" si="20"/>
        <v>0.28695652173913044</v>
      </c>
      <c r="W80" s="43">
        <f t="shared" si="22"/>
        <v>59.680895915678526</v>
      </c>
    </row>
    <row r="81" spans="2:25" ht="19.5" customHeight="1" x14ac:dyDescent="0.3">
      <c r="B81" s="44">
        <v>13</v>
      </c>
      <c r="C81" s="34" t="s">
        <v>66</v>
      </c>
      <c r="D81" s="34" t="s">
        <v>67</v>
      </c>
      <c r="E81" s="45">
        <v>0.62</v>
      </c>
      <c r="F81" s="46">
        <v>0.18</v>
      </c>
      <c r="G81" s="46">
        <f t="shared" si="16"/>
        <v>0.8</v>
      </c>
      <c r="H81" s="56" t="s">
        <v>35</v>
      </c>
      <c r="I81" s="47">
        <v>0.7</v>
      </c>
      <c r="J81" s="48">
        <v>437100</v>
      </c>
      <c r="K81" s="37">
        <f t="shared" si="17"/>
        <v>305970</v>
      </c>
      <c r="L81" s="38"/>
      <c r="M81" s="38"/>
      <c r="N81" s="38"/>
      <c r="O81" s="38"/>
      <c r="P81" s="38"/>
      <c r="Q81" s="39">
        <v>23</v>
      </c>
      <c r="R81" s="40">
        <v>14</v>
      </c>
      <c r="S81" s="70">
        <f>24/27</f>
        <v>0.88888888888888884</v>
      </c>
      <c r="T81">
        <f t="shared" si="18"/>
        <v>0.60869565217391308</v>
      </c>
      <c r="U81" s="1">
        <f t="shared" si="19"/>
        <v>62.222222222222221</v>
      </c>
      <c r="V81" s="42">
        <f t="shared" si="20"/>
        <v>0.18260869565217391</v>
      </c>
      <c r="W81" s="43">
        <f t="shared" si="22"/>
        <v>62.404830917874392</v>
      </c>
    </row>
    <row r="82" spans="2:25" ht="19.5" customHeight="1" x14ac:dyDescent="0.3">
      <c r="B82" s="44">
        <v>14</v>
      </c>
      <c r="C82" s="34" t="s">
        <v>68</v>
      </c>
      <c r="D82" s="34" t="s">
        <v>69</v>
      </c>
      <c r="E82" s="45">
        <v>0.7</v>
      </c>
      <c r="F82" s="46">
        <v>0.3</v>
      </c>
      <c r="G82" s="46">
        <f t="shared" si="16"/>
        <v>1</v>
      </c>
      <c r="H82" s="34" t="s">
        <v>29</v>
      </c>
      <c r="I82" s="47">
        <v>1</v>
      </c>
      <c r="J82" s="48">
        <v>437100</v>
      </c>
      <c r="K82" s="37">
        <f t="shared" si="17"/>
        <v>437100</v>
      </c>
      <c r="L82" s="38"/>
      <c r="M82" s="38"/>
      <c r="N82" s="38"/>
      <c r="O82" s="38"/>
      <c r="P82" s="38"/>
      <c r="Q82" s="39">
        <v>23</v>
      </c>
      <c r="R82" s="40">
        <v>23</v>
      </c>
      <c r="S82" s="41">
        <v>1</v>
      </c>
      <c r="T82">
        <f t="shared" si="18"/>
        <v>1</v>
      </c>
      <c r="U82" s="1">
        <f t="shared" si="19"/>
        <v>70</v>
      </c>
      <c r="V82" s="42">
        <f t="shared" si="20"/>
        <v>0.3</v>
      </c>
      <c r="W82" s="43">
        <f t="shared" si="22"/>
        <v>70.3</v>
      </c>
    </row>
    <row r="83" spans="2:25" ht="19.5" customHeight="1" x14ac:dyDescent="0.3">
      <c r="B83" s="30"/>
      <c r="C83" s="31"/>
      <c r="D83" s="71" t="s">
        <v>16</v>
      </c>
      <c r="E83" s="45">
        <v>0.56999999999999995</v>
      </c>
      <c r="F83" s="31"/>
      <c r="G83" s="33"/>
      <c r="H83" s="72"/>
      <c r="I83" s="72"/>
      <c r="J83" s="73">
        <f>SUM(J69:J82)</f>
        <v>6591440</v>
      </c>
      <c r="K83" s="73">
        <f>SUM(K69:K82)</f>
        <v>5194912</v>
      </c>
      <c r="L83" s="80"/>
      <c r="M83" s="80"/>
      <c r="N83" s="38" t="s">
        <v>73</v>
      </c>
      <c r="O83" s="38"/>
      <c r="P83" s="38"/>
      <c r="Q83" s="39"/>
      <c r="R83" s="40"/>
      <c r="S83" s="41">
        <f>13/16</f>
        <v>0.8125</v>
      </c>
      <c r="T83"/>
      <c r="U83" s="1">
        <f t="shared" si="19"/>
        <v>56.875</v>
      </c>
      <c r="V83" s="42"/>
      <c r="W83" s="43"/>
    </row>
    <row r="84" spans="2:25" ht="19.5" customHeight="1" x14ac:dyDescent="0.3">
      <c r="B84" s="74"/>
      <c r="C84" s="75"/>
      <c r="D84" s="76"/>
      <c r="E84" s="45">
        <v>0.62</v>
      </c>
      <c r="F84" s="75"/>
      <c r="G84" s="78"/>
      <c r="H84" s="79"/>
      <c r="I84" s="79"/>
      <c r="J84" s="80"/>
      <c r="K84" s="80"/>
      <c r="L84" s="80"/>
      <c r="M84" s="80"/>
      <c r="N84" s="38" t="s">
        <v>74</v>
      </c>
      <c r="O84" s="38"/>
      <c r="P84" s="38"/>
      <c r="Q84" s="39"/>
      <c r="R84" s="40"/>
      <c r="S84" s="41">
        <v>0.88</v>
      </c>
      <c r="T84"/>
      <c r="U84" s="1">
        <f t="shared" si="19"/>
        <v>61.6</v>
      </c>
      <c r="V84" s="42"/>
      <c r="W84" s="43"/>
    </row>
    <row r="85" spans="2:25" ht="19.5" customHeight="1" x14ac:dyDescent="0.3">
      <c r="B85" s="74"/>
      <c r="C85" s="75"/>
      <c r="D85" s="76"/>
      <c r="E85" s="45">
        <v>0.5</v>
      </c>
      <c r="F85" s="75"/>
      <c r="G85" s="78"/>
      <c r="H85" s="79"/>
      <c r="I85" s="79"/>
      <c r="J85" s="80"/>
      <c r="K85" s="80"/>
      <c r="L85" s="80"/>
      <c r="M85" s="80"/>
      <c r="N85" s="38" t="s">
        <v>75</v>
      </c>
      <c r="O85" s="38"/>
      <c r="P85" s="38"/>
      <c r="Q85" s="39"/>
      <c r="R85" s="40"/>
      <c r="S85" s="41">
        <f>15/21</f>
        <v>0.7142857142857143</v>
      </c>
      <c r="T85"/>
      <c r="U85" s="1">
        <f t="shared" si="19"/>
        <v>50</v>
      </c>
      <c r="V85" s="42"/>
      <c r="W85" s="43"/>
    </row>
    <row r="86" spans="2:25" s="83" customFormat="1" ht="20.25" customHeight="1" x14ac:dyDescent="0.3">
      <c r="B86" s="7"/>
      <c r="C86" s="8"/>
      <c r="D86" s="9"/>
      <c r="E86" s="63">
        <f>SUM(E69:E85)</f>
        <v>9.06</v>
      </c>
      <c r="F86" s="1"/>
      <c r="G86" s="8"/>
      <c r="H86" s="8"/>
      <c r="I86" s="213" t="s">
        <v>70</v>
      </c>
      <c r="J86" s="213"/>
      <c r="K86" s="1"/>
      <c r="L86" s="1"/>
      <c r="M86" s="1"/>
      <c r="N86" s="80"/>
      <c r="O86" s="75"/>
      <c r="P86" s="75"/>
      <c r="Q86" s="81"/>
      <c r="R86" s="82"/>
      <c r="S86" s="41">
        <f>SUM(S69:S85)</f>
        <v>12.943365800865802</v>
      </c>
    </row>
    <row r="87" spans="2:25" s="83" customFormat="1" ht="20.25" customHeight="1" x14ac:dyDescent="0.3">
      <c r="B87" s="7"/>
      <c r="C87" s="8"/>
      <c r="D87" s="9"/>
      <c r="E87" s="1">
        <f>E86/17</f>
        <v>0.53294117647058825</v>
      </c>
      <c r="F87" s="1"/>
      <c r="G87" s="8"/>
      <c r="H87" s="8"/>
      <c r="I87" s="213"/>
      <c r="J87" s="213"/>
      <c r="K87" s="1"/>
      <c r="L87" s="1"/>
      <c r="M87" s="1"/>
      <c r="N87" s="80"/>
      <c r="O87" s="75"/>
      <c r="P87" s="75"/>
      <c r="Q87" s="81"/>
      <c r="R87" s="82"/>
      <c r="S87" s="41">
        <f>S86/17</f>
        <v>0.76137445887445898</v>
      </c>
    </row>
    <row r="88" spans="2:25" ht="12" customHeight="1" x14ac:dyDescent="0.3">
      <c r="B88" s="7"/>
      <c r="C88" s="8"/>
      <c r="D88" s="9"/>
      <c r="G88" s="8"/>
      <c r="H88" s="8"/>
      <c r="I88" s="9"/>
      <c r="J88" s="10"/>
      <c r="N88" s="41"/>
      <c r="Q88" s="1"/>
      <c r="R88" s="1"/>
    </row>
    <row r="89" spans="2:25" ht="15.6" x14ac:dyDescent="0.3">
      <c r="B89" s="7"/>
      <c r="C89" s="8"/>
      <c r="D89" s="9"/>
      <c r="G89" s="8"/>
      <c r="H89" s="8"/>
      <c r="I89" s="9"/>
      <c r="J89" s="10"/>
      <c r="Q89" s="1"/>
      <c r="R89" s="1"/>
    </row>
    <row r="90" spans="2:25" ht="15.6" x14ac:dyDescent="0.3">
      <c r="B90" s="7"/>
      <c r="C90" s="8"/>
      <c r="D90" s="9"/>
      <c r="G90" s="8"/>
      <c r="H90" s="8"/>
      <c r="I90" s="9"/>
      <c r="J90" s="10"/>
      <c r="Q90" s="1"/>
      <c r="R90" s="1"/>
      <c r="Y90" s="63"/>
    </row>
    <row r="91" spans="2:25" ht="15.6" x14ac:dyDescent="0.3">
      <c r="B91" s="7"/>
      <c r="C91" s="8"/>
      <c r="D91" s="9"/>
      <c r="G91" s="84"/>
      <c r="H91" s="8"/>
      <c r="I91" s="214" t="s">
        <v>71</v>
      </c>
      <c r="J91" s="214"/>
      <c r="Q91" s="1"/>
      <c r="R91" s="1"/>
    </row>
    <row r="92" spans="2:25" x14ac:dyDescent="0.25">
      <c r="Q92" s="1"/>
      <c r="R92" s="1"/>
    </row>
    <row r="113" spans="1:27" ht="15.6" x14ac:dyDescent="0.3">
      <c r="B113" s="212" t="s">
        <v>0</v>
      </c>
      <c r="C113" s="212"/>
      <c r="D113" s="212"/>
      <c r="E113" s="212"/>
      <c r="F113" s="212"/>
      <c r="G113" s="212"/>
      <c r="H113" s="212"/>
      <c r="I113" s="212"/>
      <c r="J113" s="212"/>
      <c r="K113" s="212"/>
      <c r="L113" s="2"/>
      <c r="M113" s="2"/>
      <c r="N113" s="2"/>
      <c r="O113" s="2"/>
      <c r="P113" s="2"/>
      <c r="Q113" s="3"/>
      <c r="R113" s="4"/>
      <c r="S113" s="5"/>
      <c r="T113" s="5"/>
    </row>
    <row r="114" spans="1:27" ht="15.6" x14ac:dyDescent="0.3">
      <c r="B114" s="212" t="s">
        <v>76</v>
      </c>
      <c r="C114" s="212"/>
      <c r="D114" s="212"/>
      <c r="E114" s="212"/>
      <c r="F114" s="212"/>
      <c r="G114" s="212"/>
      <c r="H114" s="212"/>
      <c r="I114" s="212"/>
      <c r="J114" s="212"/>
      <c r="K114" s="212"/>
      <c r="L114" s="2"/>
      <c r="M114" s="2"/>
      <c r="N114" s="2"/>
      <c r="O114" s="6"/>
      <c r="P114" s="6"/>
      <c r="Q114" s="3"/>
      <c r="R114" s="4"/>
      <c r="S114" s="5"/>
      <c r="T114" s="5"/>
    </row>
    <row r="115" spans="1:27" ht="12" customHeight="1" x14ac:dyDescent="0.3">
      <c r="B115" s="7"/>
      <c r="C115" s="8"/>
      <c r="D115" s="8"/>
      <c r="E115" s="8"/>
      <c r="F115" s="8"/>
      <c r="G115" s="8"/>
      <c r="H115" s="9"/>
      <c r="I115" s="9"/>
      <c r="J115" s="10"/>
      <c r="K115" s="8"/>
      <c r="L115" s="8"/>
      <c r="M115" s="8"/>
      <c r="N115" s="8"/>
      <c r="O115" s="8"/>
      <c r="P115" s="8"/>
      <c r="Q115" s="11"/>
    </row>
    <row r="116" spans="1:27" s="13" customFormat="1" ht="95.25" customHeight="1" x14ac:dyDescent="0.3">
      <c r="B116" s="14" t="s">
        <v>2</v>
      </c>
      <c r="C116" s="14" t="s">
        <v>3</v>
      </c>
      <c r="D116" s="14" t="s">
        <v>4</v>
      </c>
      <c r="E116" s="15" t="s">
        <v>5</v>
      </c>
      <c r="F116" s="15" t="s">
        <v>6</v>
      </c>
      <c r="G116" s="15" t="s">
        <v>7</v>
      </c>
      <c r="H116" s="15" t="s">
        <v>8</v>
      </c>
      <c r="I116" s="15" t="s">
        <v>9</v>
      </c>
      <c r="J116" s="16" t="s">
        <v>10</v>
      </c>
      <c r="K116" s="15" t="s">
        <v>11</v>
      </c>
      <c r="L116" s="17"/>
      <c r="M116" s="17"/>
      <c r="N116" s="17"/>
      <c r="O116" s="17"/>
      <c r="P116" s="17"/>
      <c r="Q116" s="17" t="s">
        <v>77</v>
      </c>
      <c r="R116" s="18"/>
      <c r="S116" s="19" t="s">
        <v>12</v>
      </c>
      <c r="T116" s="19" t="s">
        <v>13</v>
      </c>
      <c r="U116" s="20" t="s">
        <v>14</v>
      </c>
      <c r="V116" s="21" t="s">
        <v>15</v>
      </c>
      <c r="W116" s="20" t="s">
        <v>16</v>
      </c>
    </row>
    <row r="117" spans="1:27" s="22" customFormat="1" ht="15" customHeight="1" x14ac:dyDescent="0.3">
      <c r="B117" s="23" t="s">
        <v>17</v>
      </c>
      <c r="C117" s="23" t="s">
        <v>18</v>
      </c>
      <c r="D117" s="23" t="s">
        <v>19</v>
      </c>
      <c r="E117" s="23" t="s">
        <v>20</v>
      </c>
      <c r="F117" s="23" t="s">
        <v>21</v>
      </c>
      <c r="G117" s="23" t="s">
        <v>22</v>
      </c>
      <c r="H117" s="24" t="s">
        <v>23</v>
      </c>
      <c r="I117" s="24" t="s">
        <v>24</v>
      </c>
      <c r="J117" s="25" t="s">
        <v>25</v>
      </c>
      <c r="K117" s="24" t="s">
        <v>26</v>
      </c>
      <c r="L117" s="26"/>
      <c r="M117" s="26"/>
      <c r="N117" s="26"/>
      <c r="O117" s="26"/>
      <c r="P117" s="26"/>
      <c r="Q117" s="27"/>
      <c r="R117" s="28"/>
      <c r="S117" s="29"/>
      <c r="T117" s="29"/>
    </row>
    <row r="118" spans="1:27" ht="19.5" customHeight="1" x14ac:dyDescent="0.3">
      <c r="B118" s="30">
        <v>1</v>
      </c>
      <c r="C118" s="31" t="s">
        <v>27</v>
      </c>
      <c r="D118" s="31" t="s">
        <v>28</v>
      </c>
      <c r="E118" s="32">
        <v>0.66</v>
      </c>
      <c r="F118" s="33">
        <v>0.27</v>
      </c>
      <c r="G118" s="33">
        <f>E118+F118</f>
        <v>0.93</v>
      </c>
      <c r="H118" s="34" t="s">
        <v>29</v>
      </c>
      <c r="I118" s="35">
        <v>1</v>
      </c>
      <c r="J118" s="36">
        <v>581340</v>
      </c>
      <c r="K118" s="37">
        <f>I118*J118</f>
        <v>581340</v>
      </c>
      <c r="L118" s="38"/>
      <c r="M118" s="38"/>
      <c r="N118" s="38"/>
      <c r="O118" s="38"/>
      <c r="P118" s="38"/>
      <c r="Q118" s="39">
        <v>23</v>
      </c>
      <c r="R118" s="40">
        <v>21</v>
      </c>
      <c r="S118" s="41">
        <v>0.95</v>
      </c>
      <c r="T118">
        <f>R118/Q118</f>
        <v>0.91304347826086951</v>
      </c>
      <c r="U118" s="1">
        <f>S118*70</f>
        <v>66.5</v>
      </c>
      <c r="V118" s="42">
        <f>T118*30%</f>
        <v>0.27391304347826084</v>
      </c>
      <c r="W118" s="43">
        <f>U118+V118</f>
        <v>66.77391304347826</v>
      </c>
    </row>
    <row r="119" spans="1:27" ht="19.5" customHeight="1" x14ac:dyDescent="0.3">
      <c r="B119" s="30">
        <v>2</v>
      </c>
      <c r="C119" s="31" t="s">
        <v>30</v>
      </c>
      <c r="D119" s="31" t="s">
        <v>31</v>
      </c>
      <c r="E119" s="32">
        <v>0.61</v>
      </c>
      <c r="F119" s="33">
        <v>0.3</v>
      </c>
      <c r="G119" s="33">
        <f t="shared" ref="G119:G131" si="23">E119+F119</f>
        <v>0.90999999999999992</v>
      </c>
      <c r="H119" s="34" t="s">
        <v>29</v>
      </c>
      <c r="I119" s="35">
        <v>1</v>
      </c>
      <c r="J119" s="36">
        <v>502660</v>
      </c>
      <c r="K119" s="37">
        <f t="shared" ref="K119:K131" si="24">I119*J119</f>
        <v>502660</v>
      </c>
      <c r="L119" s="38"/>
      <c r="M119" s="38"/>
      <c r="N119" s="38"/>
      <c r="O119" s="38"/>
      <c r="P119" s="38"/>
      <c r="Q119" s="39">
        <v>23</v>
      </c>
      <c r="R119" s="40">
        <v>23</v>
      </c>
      <c r="S119" s="41">
        <v>0.87</v>
      </c>
      <c r="T119">
        <f t="shared" ref="T119:T131" si="25">R119/Q119</f>
        <v>1</v>
      </c>
      <c r="U119" s="1">
        <f t="shared" ref="U119:U132" si="26">S119*70</f>
        <v>60.9</v>
      </c>
      <c r="V119" s="42">
        <f t="shared" ref="V119:V131" si="27">T119*30%</f>
        <v>0.3</v>
      </c>
      <c r="W119" s="43">
        <f t="shared" ref="W119" si="28">U119+V119</f>
        <v>61.199999999999996</v>
      </c>
    </row>
    <row r="120" spans="1:27" ht="19.5" customHeight="1" x14ac:dyDescent="0.3">
      <c r="B120" s="30">
        <v>3</v>
      </c>
      <c r="C120" s="31" t="s">
        <v>33</v>
      </c>
      <c r="D120" s="31" t="s">
        <v>34</v>
      </c>
      <c r="E120" s="32">
        <v>0.49</v>
      </c>
      <c r="F120" s="33">
        <v>0.28000000000000003</v>
      </c>
      <c r="G120" s="33">
        <f t="shared" si="23"/>
        <v>0.77</v>
      </c>
      <c r="H120" s="31" t="s">
        <v>35</v>
      </c>
      <c r="I120" s="35">
        <v>0.7</v>
      </c>
      <c r="J120" s="36">
        <v>502660</v>
      </c>
      <c r="K120" s="37">
        <f t="shared" si="24"/>
        <v>351862</v>
      </c>
      <c r="L120" s="38"/>
      <c r="M120" s="38"/>
      <c r="N120" s="38"/>
      <c r="O120" s="38"/>
      <c r="P120" s="38"/>
      <c r="Q120" s="39">
        <v>23</v>
      </c>
      <c r="R120" s="40">
        <v>22</v>
      </c>
      <c r="S120" s="41">
        <f>12/17</f>
        <v>0.70588235294117652</v>
      </c>
      <c r="T120">
        <f t="shared" si="25"/>
        <v>0.95652173913043481</v>
      </c>
      <c r="U120" s="1">
        <f t="shared" si="26"/>
        <v>49.411764705882355</v>
      </c>
      <c r="V120" s="42">
        <f t="shared" si="27"/>
        <v>0.28695652173913044</v>
      </c>
      <c r="W120" s="43">
        <f>U120+V120</f>
        <v>49.698721227621483</v>
      </c>
      <c r="Y120" s="5" t="s">
        <v>36</v>
      </c>
      <c r="Z120" s="49" t="s">
        <v>37</v>
      </c>
      <c r="AA120" s="49" t="s">
        <v>38</v>
      </c>
    </row>
    <row r="121" spans="1:27" s="50" customFormat="1" ht="19.5" customHeight="1" x14ac:dyDescent="0.3">
      <c r="B121" s="44">
        <v>4</v>
      </c>
      <c r="C121" s="34" t="s">
        <v>39</v>
      </c>
      <c r="D121" s="34" t="s">
        <v>40</v>
      </c>
      <c r="E121" s="32">
        <v>0.66</v>
      </c>
      <c r="F121" s="46">
        <v>0.28000000000000003</v>
      </c>
      <c r="G121" s="33">
        <f t="shared" si="23"/>
        <v>0.94000000000000006</v>
      </c>
      <c r="H121" s="34" t="s">
        <v>29</v>
      </c>
      <c r="I121" s="35">
        <v>1</v>
      </c>
      <c r="J121" s="48">
        <v>502660</v>
      </c>
      <c r="K121" s="37">
        <f t="shared" si="24"/>
        <v>502660</v>
      </c>
      <c r="L121" s="38"/>
      <c r="M121" s="38"/>
      <c r="N121" s="38"/>
      <c r="O121" s="38"/>
      <c r="P121" s="38"/>
      <c r="Q121" s="39">
        <v>23</v>
      </c>
      <c r="R121" s="51">
        <v>22</v>
      </c>
      <c r="S121" s="41">
        <v>0.94</v>
      </c>
      <c r="T121">
        <f t="shared" si="25"/>
        <v>0.95652173913043481</v>
      </c>
      <c r="U121" s="1">
        <f t="shared" si="26"/>
        <v>65.8</v>
      </c>
      <c r="V121" s="42">
        <f t="shared" si="27"/>
        <v>0.28695652173913044</v>
      </c>
      <c r="W121" s="43">
        <f t="shared" ref="W121:W131" si="29">U121+V121</f>
        <v>66.086956521739125</v>
      </c>
      <c r="Y121" s="52" t="s">
        <v>41</v>
      </c>
      <c r="Z121" s="50" t="s">
        <v>29</v>
      </c>
      <c r="AA121" s="53">
        <v>1</v>
      </c>
    </row>
    <row r="122" spans="1:27" s="54" customFormat="1" ht="19.5" customHeight="1" x14ac:dyDescent="0.3">
      <c r="B122" s="55">
        <v>5</v>
      </c>
      <c r="C122" s="56" t="s">
        <v>42</v>
      </c>
      <c r="D122" s="56" t="s">
        <v>43</v>
      </c>
      <c r="E122" s="45">
        <v>0</v>
      </c>
      <c r="F122" s="46">
        <v>0.3</v>
      </c>
      <c r="G122" s="33">
        <f t="shared" si="23"/>
        <v>0.3</v>
      </c>
      <c r="H122" s="34" t="s">
        <v>44</v>
      </c>
      <c r="I122" s="47">
        <v>0.1</v>
      </c>
      <c r="J122" s="48">
        <v>502660</v>
      </c>
      <c r="K122" s="37">
        <f t="shared" si="24"/>
        <v>50266</v>
      </c>
      <c r="L122" s="38"/>
      <c r="M122" s="38"/>
      <c r="N122" s="38"/>
      <c r="O122" s="38"/>
      <c r="P122" s="38"/>
      <c r="Q122" s="39">
        <v>23</v>
      </c>
      <c r="R122" s="57">
        <v>23</v>
      </c>
      <c r="S122" s="58">
        <v>0</v>
      </c>
      <c r="T122">
        <f t="shared" si="25"/>
        <v>1</v>
      </c>
      <c r="U122" s="1">
        <f t="shared" si="26"/>
        <v>0</v>
      </c>
      <c r="V122" s="42">
        <f t="shared" si="27"/>
        <v>0.3</v>
      </c>
      <c r="W122" s="43">
        <f t="shared" si="29"/>
        <v>0.3</v>
      </c>
      <c r="Y122" s="59" t="s">
        <v>45</v>
      </c>
      <c r="Z122" s="54" t="s">
        <v>32</v>
      </c>
      <c r="AA122" s="60">
        <v>0.9</v>
      </c>
    </row>
    <row r="123" spans="1:27" ht="19.5" customHeight="1" x14ac:dyDescent="0.3">
      <c r="B123" s="30">
        <v>6</v>
      </c>
      <c r="C123" s="31" t="s">
        <v>46</v>
      </c>
      <c r="D123" s="31" t="s">
        <v>47</v>
      </c>
      <c r="E123" s="32">
        <v>0.48</v>
      </c>
      <c r="F123" s="33">
        <v>0.28000000000000003</v>
      </c>
      <c r="G123" s="33">
        <f t="shared" si="23"/>
        <v>0.76</v>
      </c>
      <c r="H123" s="34" t="s">
        <v>35</v>
      </c>
      <c r="I123" s="35">
        <v>0.7</v>
      </c>
      <c r="J123" s="36">
        <v>502660</v>
      </c>
      <c r="K123" s="37">
        <f t="shared" si="24"/>
        <v>351862</v>
      </c>
      <c r="L123" s="38"/>
      <c r="M123" s="38"/>
      <c r="N123" s="38"/>
      <c r="O123" s="38"/>
      <c r="P123" s="38"/>
      <c r="Q123" s="39">
        <v>23</v>
      </c>
      <c r="R123" s="40">
        <v>22</v>
      </c>
      <c r="S123" s="61">
        <f>17/25</f>
        <v>0.68</v>
      </c>
      <c r="T123">
        <f t="shared" si="25"/>
        <v>0.95652173913043481</v>
      </c>
      <c r="U123" s="1">
        <f t="shared" si="26"/>
        <v>47.6</v>
      </c>
      <c r="V123" s="42">
        <f t="shared" si="27"/>
        <v>0.28695652173913044</v>
      </c>
      <c r="W123" s="43">
        <f t="shared" si="29"/>
        <v>47.88695652173913</v>
      </c>
      <c r="Y123" s="62" t="s">
        <v>48</v>
      </c>
      <c r="Z123" s="1" t="s">
        <v>35</v>
      </c>
      <c r="AA123" s="63">
        <v>0.7</v>
      </c>
    </row>
    <row r="124" spans="1:27" ht="19.5" customHeight="1" x14ac:dyDescent="0.3">
      <c r="B124" s="30">
        <v>7</v>
      </c>
      <c r="C124" s="31" t="s">
        <v>49</v>
      </c>
      <c r="D124" s="31" t="s">
        <v>50</v>
      </c>
      <c r="E124" s="32">
        <v>0.62</v>
      </c>
      <c r="F124" s="33">
        <v>0.09</v>
      </c>
      <c r="G124" s="33">
        <f t="shared" si="23"/>
        <v>0.71</v>
      </c>
      <c r="H124" s="34" t="s">
        <v>35</v>
      </c>
      <c r="I124" s="35">
        <v>0.7</v>
      </c>
      <c r="J124" s="36">
        <v>437100</v>
      </c>
      <c r="K124" s="37">
        <f t="shared" si="24"/>
        <v>305970</v>
      </c>
      <c r="L124" s="38"/>
      <c r="M124" s="38"/>
      <c r="N124" s="38"/>
      <c r="O124" s="38"/>
      <c r="P124" s="38"/>
      <c r="Q124" s="39">
        <v>23</v>
      </c>
      <c r="R124" s="40">
        <v>7</v>
      </c>
      <c r="S124" s="41">
        <v>0.89</v>
      </c>
      <c r="T124">
        <f t="shared" si="25"/>
        <v>0.30434782608695654</v>
      </c>
      <c r="U124" s="1">
        <f t="shared" si="26"/>
        <v>62.300000000000004</v>
      </c>
      <c r="V124" s="42">
        <f t="shared" si="27"/>
        <v>9.1304347826086957E-2</v>
      </c>
      <c r="W124" s="43">
        <f t="shared" si="29"/>
        <v>62.391304347826093</v>
      </c>
      <c r="Y124" s="62" t="s">
        <v>51</v>
      </c>
      <c r="Z124" s="1" t="s">
        <v>52</v>
      </c>
      <c r="AA124" s="63">
        <v>0.4</v>
      </c>
    </row>
    <row r="125" spans="1:27" ht="19.5" customHeight="1" x14ac:dyDescent="0.3">
      <c r="B125" s="30">
        <v>8</v>
      </c>
      <c r="C125" s="31" t="s">
        <v>53</v>
      </c>
      <c r="D125" s="31" t="s">
        <v>54</v>
      </c>
      <c r="E125" s="32">
        <v>0.68</v>
      </c>
      <c r="F125" s="33">
        <v>0.26</v>
      </c>
      <c r="G125" s="33">
        <f t="shared" si="23"/>
        <v>0.94000000000000006</v>
      </c>
      <c r="H125" s="34" t="s">
        <v>29</v>
      </c>
      <c r="I125" s="35">
        <v>1</v>
      </c>
      <c r="J125" s="36">
        <v>437100</v>
      </c>
      <c r="K125" s="37">
        <f t="shared" si="24"/>
        <v>437100</v>
      </c>
      <c r="L125" s="38"/>
      <c r="M125" s="38"/>
      <c r="N125" s="38"/>
      <c r="O125" s="38"/>
      <c r="P125" s="38"/>
      <c r="Q125" s="39">
        <v>23</v>
      </c>
      <c r="R125" s="40">
        <v>20</v>
      </c>
      <c r="S125" s="41">
        <v>0.97</v>
      </c>
      <c r="T125">
        <f t="shared" si="25"/>
        <v>0.86956521739130432</v>
      </c>
      <c r="U125" s="1">
        <f t="shared" si="26"/>
        <v>67.899999999999991</v>
      </c>
      <c r="V125" s="42">
        <f t="shared" si="27"/>
        <v>0.2608695652173913</v>
      </c>
      <c r="W125" s="43">
        <f t="shared" si="29"/>
        <v>68.160869565217382</v>
      </c>
      <c r="Y125" s="62" t="s">
        <v>55</v>
      </c>
      <c r="Z125" s="1" t="s">
        <v>56</v>
      </c>
      <c r="AA125" s="63">
        <v>0.1</v>
      </c>
    </row>
    <row r="126" spans="1:27" ht="19.5" customHeight="1" x14ac:dyDescent="0.3">
      <c r="A126" s="1" t="s">
        <v>57</v>
      </c>
      <c r="B126" s="30">
        <v>9</v>
      </c>
      <c r="C126" s="31" t="s">
        <v>58</v>
      </c>
      <c r="D126" s="31" t="s">
        <v>59</v>
      </c>
      <c r="E126" s="32">
        <v>0.59</v>
      </c>
      <c r="F126" s="33">
        <v>7.0000000000000007E-2</v>
      </c>
      <c r="G126" s="33">
        <f t="shared" si="23"/>
        <v>0.65999999999999992</v>
      </c>
      <c r="H126" s="34" t="s">
        <v>52</v>
      </c>
      <c r="I126" s="35">
        <v>0.4</v>
      </c>
      <c r="J126" s="36">
        <v>437100</v>
      </c>
      <c r="K126" s="37">
        <f t="shared" si="24"/>
        <v>174840</v>
      </c>
      <c r="L126" s="38"/>
      <c r="M126" s="38"/>
      <c r="N126" s="38"/>
      <c r="O126" s="38"/>
      <c r="P126" s="38"/>
      <c r="Q126" s="39">
        <v>23</v>
      </c>
      <c r="R126" s="40">
        <v>6</v>
      </c>
      <c r="S126" s="41">
        <v>0.84</v>
      </c>
      <c r="T126">
        <f t="shared" si="25"/>
        <v>0.2608695652173913</v>
      </c>
      <c r="U126" s="1">
        <f t="shared" si="26"/>
        <v>58.8</v>
      </c>
      <c r="V126" s="42">
        <f t="shared" si="27"/>
        <v>7.8260869565217384E-2</v>
      </c>
      <c r="W126" s="43">
        <f t="shared" si="29"/>
        <v>58.878260869565217</v>
      </c>
      <c r="Y126" s="12"/>
    </row>
    <row r="127" spans="1:27" ht="19.5" customHeight="1" x14ac:dyDescent="0.3">
      <c r="B127" s="30">
        <v>10</v>
      </c>
      <c r="C127" s="31" t="s">
        <v>60</v>
      </c>
      <c r="D127" s="31" t="s">
        <v>61</v>
      </c>
      <c r="E127" s="32">
        <v>0.61</v>
      </c>
      <c r="F127" s="33">
        <v>0.3</v>
      </c>
      <c r="G127" s="33">
        <f t="shared" si="23"/>
        <v>0.90999999999999992</v>
      </c>
      <c r="H127" s="34" t="s">
        <v>29</v>
      </c>
      <c r="I127" s="35">
        <v>1</v>
      </c>
      <c r="J127" s="36">
        <v>437100</v>
      </c>
      <c r="K127" s="37">
        <f t="shared" si="24"/>
        <v>437100</v>
      </c>
      <c r="L127" s="38"/>
      <c r="M127" s="38"/>
      <c r="N127" s="38"/>
      <c r="O127" s="38"/>
      <c r="P127" s="38"/>
      <c r="Q127" s="39">
        <v>23</v>
      </c>
      <c r="R127" s="40">
        <v>23</v>
      </c>
      <c r="S127" s="41">
        <f>26/30</f>
        <v>0.8666666666666667</v>
      </c>
      <c r="T127">
        <f t="shared" si="25"/>
        <v>1</v>
      </c>
      <c r="U127" s="1">
        <f t="shared" si="26"/>
        <v>60.666666666666671</v>
      </c>
      <c r="V127" s="42">
        <f t="shared" si="27"/>
        <v>0.3</v>
      </c>
      <c r="W127" s="43">
        <f t="shared" si="29"/>
        <v>60.966666666666669</v>
      </c>
    </row>
    <row r="128" spans="1:27" ht="19.5" customHeight="1" x14ac:dyDescent="0.3">
      <c r="B128" s="30">
        <v>11</v>
      </c>
      <c r="C128" s="31" t="s">
        <v>62</v>
      </c>
      <c r="D128" s="31" t="s">
        <v>63</v>
      </c>
      <c r="E128" s="32">
        <v>0.56999999999999995</v>
      </c>
      <c r="F128" s="33">
        <v>0.3</v>
      </c>
      <c r="G128" s="33">
        <f t="shared" si="23"/>
        <v>0.86999999999999988</v>
      </c>
      <c r="H128" s="87" t="s">
        <v>32</v>
      </c>
      <c r="I128" s="35">
        <v>0.9</v>
      </c>
      <c r="J128" s="36">
        <v>437100</v>
      </c>
      <c r="K128" s="37">
        <f t="shared" si="24"/>
        <v>393390</v>
      </c>
      <c r="L128" s="38"/>
      <c r="M128" s="38"/>
      <c r="N128" s="38"/>
      <c r="O128" s="38"/>
      <c r="P128" s="38"/>
      <c r="Q128" s="39">
        <v>23</v>
      </c>
      <c r="R128" s="40">
        <v>23</v>
      </c>
      <c r="S128" s="41">
        <f>23/28</f>
        <v>0.8214285714285714</v>
      </c>
      <c r="T128">
        <f t="shared" si="25"/>
        <v>1</v>
      </c>
      <c r="U128" s="1">
        <f t="shared" si="26"/>
        <v>57.5</v>
      </c>
      <c r="V128" s="42">
        <f t="shared" si="27"/>
        <v>0.3</v>
      </c>
      <c r="W128" s="43">
        <f t="shared" si="29"/>
        <v>57.8</v>
      </c>
    </row>
    <row r="129" spans="2:25" ht="19.5" customHeight="1" x14ac:dyDescent="0.3">
      <c r="B129" s="88">
        <v>12</v>
      </c>
      <c r="C129" s="89" t="s">
        <v>64</v>
      </c>
      <c r="D129" s="89" t="s">
        <v>65</v>
      </c>
      <c r="E129" s="90">
        <v>0.65</v>
      </c>
      <c r="F129" s="91">
        <v>0.28000000000000003</v>
      </c>
      <c r="G129" s="91">
        <f t="shared" si="23"/>
        <v>0.93</v>
      </c>
      <c r="H129" s="65" t="s">
        <v>29</v>
      </c>
      <c r="I129" s="92">
        <v>1</v>
      </c>
      <c r="J129" s="93">
        <v>437100</v>
      </c>
      <c r="K129" s="37">
        <f t="shared" si="24"/>
        <v>437100</v>
      </c>
      <c r="L129" s="38"/>
      <c r="M129" s="38"/>
      <c r="N129" s="38"/>
      <c r="O129" s="38"/>
      <c r="P129" s="38"/>
      <c r="Q129" s="39">
        <v>23</v>
      </c>
      <c r="R129" s="40">
        <v>22</v>
      </c>
      <c r="S129" s="41">
        <f>42/45</f>
        <v>0.93333333333333335</v>
      </c>
      <c r="T129">
        <f t="shared" si="25"/>
        <v>0.95652173913043481</v>
      </c>
      <c r="U129" s="1">
        <f t="shared" si="26"/>
        <v>65.333333333333329</v>
      </c>
      <c r="V129" s="42">
        <f t="shared" si="27"/>
        <v>0.28695652173913044</v>
      </c>
      <c r="W129" s="43">
        <f t="shared" si="29"/>
        <v>65.620289855072457</v>
      </c>
    </row>
    <row r="130" spans="2:25" ht="19.5" customHeight="1" x14ac:dyDescent="0.3">
      <c r="B130" s="30">
        <v>13</v>
      </c>
      <c r="C130" s="31" t="s">
        <v>66</v>
      </c>
      <c r="D130" s="31" t="s">
        <v>67</v>
      </c>
      <c r="E130" s="32">
        <v>0.67</v>
      </c>
      <c r="F130" s="33">
        <v>0.18</v>
      </c>
      <c r="G130" s="33">
        <f t="shared" si="23"/>
        <v>0.85000000000000009</v>
      </c>
      <c r="H130" s="87" t="s">
        <v>32</v>
      </c>
      <c r="I130" s="35">
        <v>0.9</v>
      </c>
      <c r="J130" s="36">
        <v>437100</v>
      </c>
      <c r="K130" s="37">
        <f t="shared" si="24"/>
        <v>393390</v>
      </c>
      <c r="L130" s="38"/>
      <c r="M130" s="38"/>
      <c r="N130" s="38"/>
      <c r="O130" s="38"/>
      <c r="P130" s="38"/>
      <c r="Q130" s="39">
        <v>23</v>
      </c>
      <c r="R130" s="40">
        <v>14</v>
      </c>
      <c r="S130" s="41">
        <f>22/23</f>
        <v>0.95652173913043481</v>
      </c>
      <c r="T130">
        <f t="shared" si="25"/>
        <v>0.60869565217391308</v>
      </c>
      <c r="U130" s="1">
        <f t="shared" si="26"/>
        <v>66.956521739130437</v>
      </c>
      <c r="V130" s="42">
        <f t="shared" si="27"/>
        <v>0.18260869565217391</v>
      </c>
      <c r="W130" s="43">
        <f t="shared" si="29"/>
        <v>67.139130434782615</v>
      </c>
    </row>
    <row r="131" spans="2:25" ht="19.5" customHeight="1" x14ac:dyDescent="0.3">
      <c r="B131" s="30">
        <v>14</v>
      </c>
      <c r="C131" s="31" t="s">
        <v>68</v>
      </c>
      <c r="D131" s="31" t="s">
        <v>69</v>
      </c>
      <c r="E131" s="32">
        <v>0.7</v>
      </c>
      <c r="F131" s="33">
        <v>0.3</v>
      </c>
      <c r="G131" s="33">
        <f t="shared" si="23"/>
        <v>1</v>
      </c>
      <c r="H131" s="34" t="s">
        <v>29</v>
      </c>
      <c r="I131" s="35">
        <v>1</v>
      </c>
      <c r="J131" s="36">
        <v>437100</v>
      </c>
      <c r="K131" s="37">
        <f t="shared" si="24"/>
        <v>437100</v>
      </c>
      <c r="L131" s="38"/>
      <c r="M131" s="38"/>
      <c r="N131" s="38"/>
      <c r="O131" s="38"/>
      <c r="P131" s="38"/>
      <c r="Q131" s="39">
        <v>23</v>
      </c>
      <c r="R131" s="40">
        <v>23</v>
      </c>
      <c r="S131" s="41">
        <v>1</v>
      </c>
      <c r="T131">
        <f t="shared" si="25"/>
        <v>1</v>
      </c>
      <c r="U131" s="1">
        <f t="shared" si="26"/>
        <v>70</v>
      </c>
      <c r="V131" s="42">
        <f t="shared" si="27"/>
        <v>0.3</v>
      </c>
      <c r="W131" s="43">
        <f t="shared" si="29"/>
        <v>70.3</v>
      </c>
    </row>
    <row r="132" spans="2:25" ht="19.5" customHeight="1" x14ac:dyDescent="0.3">
      <c r="B132" s="30"/>
      <c r="C132" s="31"/>
      <c r="D132" s="71" t="s">
        <v>16</v>
      </c>
      <c r="E132" s="31"/>
      <c r="F132" s="31"/>
      <c r="G132" s="33"/>
      <c r="H132" s="72"/>
      <c r="I132" s="72"/>
      <c r="J132" s="73">
        <f>SUM(J118:J131)</f>
        <v>6591440</v>
      </c>
      <c r="K132" s="73">
        <f>SUM(K118:K131)</f>
        <v>5356640</v>
      </c>
      <c r="L132" s="80"/>
      <c r="M132" s="80"/>
      <c r="N132" s="38"/>
      <c r="O132" s="38"/>
      <c r="P132" s="38"/>
      <c r="Q132" s="39"/>
      <c r="R132" s="40"/>
      <c r="S132" s="41">
        <v>0.82</v>
      </c>
      <c r="T132"/>
      <c r="U132" s="1">
        <f t="shared" si="26"/>
        <v>57.4</v>
      </c>
      <c r="V132" s="42"/>
      <c r="W132" s="43"/>
    </row>
    <row r="133" spans="2:25" ht="19.5" customHeight="1" x14ac:dyDescent="0.3">
      <c r="B133" s="74"/>
      <c r="C133" s="75"/>
      <c r="D133" s="76"/>
      <c r="E133" s="75"/>
      <c r="F133" s="75"/>
      <c r="G133" s="78"/>
      <c r="H133" s="79"/>
      <c r="I133" s="79"/>
      <c r="J133" s="80"/>
      <c r="K133" s="80"/>
      <c r="L133" s="80"/>
      <c r="M133" s="80"/>
      <c r="N133" s="38"/>
      <c r="O133" s="38"/>
      <c r="P133" s="38"/>
      <c r="Q133" s="39"/>
      <c r="R133" s="40"/>
      <c r="S133" s="41"/>
      <c r="T133"/>
      <c r="V133" s="42"/>
      <c r="W133" s="43"/>
    </row>
    <row r="134" spans="2:25" ht="19.5" customHeight="1" x14ac:dyDescent="0.3">
      <c r="B134" s="74"/>
      <c r="C134" s="75"/>
      <c r="D134" s="76"/>
      <c r="E134" s="75"/>
      <c r="F134" s="75"/>
      <c r="G134" s="78"/>
      <c r="H134" s="79"/>
      <c r="I134" s="79"/>
      <c r="J134" s="80"/>
      <c r="K134" s="80"/>
      <c r="L134" s="80"/>
      <c r="M134" s="80"/>
      <c r="N134" s="38"/>
      <c r="O134" s="38"/>
      <c r="P134" s="38"/>
      <c r="Q134" s="39"/>
      <c r="R134" s="40"/>
      <c r="S134" s="41"/>
      <c r="T134"/>
      <c r="V134" s="42"/>
      <c r="W134" s="43"/>
    </row>
    <row r="135" spans="2:25" s="83" customFormat="1" ht="20.25" customHeight="1" x14ac:dyDescent="0.3">
      <c r="B135" s="7"/>
      <c r="C135" s="8"/>
      <c r="D135" s="9"/>
      <c r="E135" s="9"/>
      <c r="F135" s="10"/>
      <c r="G135" s="10"/>
      <c r="H135" s="8"/>
      <c r="I135" s="11"/>
      <c r="J135" s="12"/>
      <c r="K135" s="41"/>
      <c r="L135" s="41"/>
      <c r="M135" s="41"/>
      <c r="N135" s="80"/>
      <c r="O135" s="75"/>
      <c r="P135" s="75"/>
      <c r="Q135" s="81"/>
      <c r="R135" s="82"/>
      <c r="S135" s="41"/>
    </row>
    <row r="136" spans="2:25" s="83" customFormat="1" ht="20.25" customHeight="1" x14ac:dyDescent="0.3">
      <c r="B136" s="7"/>
      <c r="C136" s="8"/>
      <c r="D136" s="9"/>
      <c r="E136" s="1"/>
      <c r="F136" s="1"/>
      <c r="G136" s="8"/>
      <c r="H136" s="8"/>
      <c r="I136" s="213" t="s">
        <v>70</v>
      </c>
      <c r="J136" s="213"/>
      <c r="K136" s="1"/>
      <c r="L136" s="1"/>
      <c r="M136" s="1"/>
      <c r="N136" s="80"/>
      <c r="O136" s="75"/>
      <c r="P136" s="75"/>
      <c r="Q136" s="81"/>
      <c r="R136" s="82"/>
      <c r="S136" s="41"/>
    </row>
    <row r="137" spans="2:25" s="83" customFormat="1" ht="20.25" customHeight="1" x14ac:dyDescent="0.3">
      <c r="B137" s="7"/>
      <c r="C137" s="8"/>
      <c r="D137" s="9"/>
      <c r="E137" s="1"/>
      <c r="F137" s="1"/>
      <c r="G137" s="8"/>
      <c r="H137" s="8"/>
      <c r="I137" s="213"/>
      <c r="J137" s="213"/>
      <c r="K137" s="1"/>
      <c r="L137" s="1"/>
      <c r="M137" s="1"/>
      <c r="N137" s="80"/>
      <c r="O137" s="75"/>
      <c r="P137" s="75"/>
      <c r="Q137" s="81"/>
      <c r="R137" s="82"/>
      <c r="S137" s="41"/>
    </row>
    <row r="138" spans="2:25" ht="12" customHeight="1" x14ac:dyDescent="0.3">
      <c r="B138" s="7"/>
      <c r="C138" s="8"/>
      <c r="D138" s="9"/>
      <c r="G138" s="8"/>
      <c r="H138" s="8"/>
      <c r="I138" s="9"/>
      <c r="J138" s="10"/>
      <c r="N138" s="41"/>
      <c r="Q138" s="1"/>
      <c r="R138" s="1"/>
    </row>
    <row r="139" spans="2:25" ht="15.6" x14ac:dyDescent="0.3">
      <c r="B139" s="7"/>
      <c r="C139" s="8"/>
      <c r="D139" s="9"/>
      <c r="G139" s="8"/>
      <c r="H139" s="8"/>
      <c r="I139" s="9"/>
      <c r="J139" s="10"/>
      <c r="Q139" s="1"/>
      <c r="R139" s="1"/>
    </row>
    <row r="140" spans="2:25" ht="15.6" x14ac:dyDescent="0.3">
      <c r="B140" s="7"/>
      <c r="C140" s="8"/>
      <c r="D140" s="9"/>
      <c r="G140" s="8"/>
      <c r="H140" s="8"/>
      <c r="I140" s="9"/>
      <c r="J140" s="10"/>
      <c r="Q140" s="1"/>
      <c r="R140" s="1"/>
      <c r="Y140" s="63"/>
    </row>
    <row r="141" spans="2:25" ht="15.6" x14ac:dyDescent="0.3">
      <c r="B141" s="7"/>
      <c r="C141" s="8"/>
      <c r="D141" s="9"/>
      <c r="G141" s="84"/>
      <c r="H141" s="8"/>
      <c r="I141" s="214" t="s">
        <v>71</v>
      </c>
      <c r="J141" s="214"/>
      <c r="Q141" s="1"/>
      <c r="R141" s="1"/>
    </row>
    <row r="142" spans="2:25" x14ac:dyDescent="0.25">
      <c r="Q142" s="1"/>
      <c r="R142" s="1"/>
    </row>
    <row r="143" spans="2:25" x14ac:dyDescent="0.25">
      <c r="Q143" s="1"/>
      <c r="R143" s="1"/>
    </row>
    <row r="144" spans="2:25" x14ac:dyDescent="0.25">
      <c r="Q144" s="1"/>
      <c r="R144" s="1"/>
    </row>
    <row r="158" spans="2:13" ht="15.6" x14ac:dyDescent="0.3">
      <c r="B158" s="212" t="s">
        <v>0</v>
      </c>
      <c r="C158" s="212"/>
      <c r="D158" s="212"/>
      <c r="E158" s="212"/>
      <c r="F158" s="212"/>
      <c r="G158" s="212"/>
      <c r="H158" s="212"/>
      <c r="I158" s="212"/>
      <c r="J158" s="212"/>
      <c r="K158" s="212"/>
      <c r="L158" s="2"/>
      <c r="M158" s="2"/>
    </row>
    <row r="159" spans="2:13" ht="15.6" x14ac:dyDescent="0.3">
      <c r="B159" s="212" t="s">
        <v>78</v>
      </c>
      <c r="C159" s="212"/>
      <c r="D159" s="212"/>
      <c r="E159" s="212"/>
      <c r="F159" s="212"/>
      <c r="G159" s="212"/>
      <c r="H159" s="212"/>
      <c r="I159" s="212"/>
      <c r="J159" s="212"/>
      <c r="K159" s="212"/>
      <c r="L159" s="2"/>
      <c r="M159" s="2"/>
    </row>
    <row r="160" spans="2:13" ht="15.6" x14ac:dyDescent="0.3">
      <c r="B160" s="7"/>
      <c r="C160" s="8"/>
      <c r="D160" s="8"/>
      <c r="E160" s="8"/>
      <c r="F160" s="8"/>
      <c r="G160" s="8"/>
      <c r="H160" s="9"/>
      <c r="I160" s="9"/>
      <c r="J160" s="10"/>
      <c r="K160" s="8"/>
      <c r="L160" s="8"/>
      <c r="M160" s="8"/>
    </row>
    <row r="161" spans="1:27" ht="93.6" x14ac:dyDescent="0.3">
      <c r="B161" s="14" t="s">
        <v>2</v>
      </c>
      <c r="C161" s="14" t="s">
        <v>3</v>
      </c>
      <c r="D161" s="14" t="s">
        <v>4</v>
      </c>
      <c r="E161" s="15" t="s">
        <v>5</v>
      </c>
      <c r="F161" s="15" t="s">
        <v>6</v>
      </c>
      <c r="G161" s="15" t="s">
        <v>7</v>
      </c>
      <c r="H161" s="15" t="s">
        <v>8</v>
      </c>
      <c r="I161" s="15" t="s">
        <v>9</v>
      </c>
      <c r="J161" s="16" t="s">
        <v>10</v>
      </c>
      <c r="K161" s="15" t="s">
        <v>11</v>
      </c>
      <c r="L161" s="17"/>
      <c r="M161" s="17"/>
      <c r="N161" s="2"/>
      <c r="O161" s="2"/>
      <c r="P161" s="2"/>
      <c r="Q161" s="3"/>
      <c r="R161" s="4"/>
      <c r="S161" s="5"/>
      <c r="T161" s="5"/>
    </row>
    <row r="162" spans="1:27" ht="15.6" x14ac:dyDescent="0.3">
      <c r="B162" s="23" t="s">
        <v>17</v>
      </c>
      <c r="C162" s="23" t="s">
        <v>18</v>
      </c>
      <c r="D162" s="23" t="s">
        <v>19</v>
      </c>
      <c r="E162" s="23" t="s">
        <v>20</v>
      </c>
      <c r="F162" s="23" t="s">
        <v>21</v>
      </c>
      <c r="G162" s="23" t="s">
        <v>22</v>
      </c>
      <c r="H162" s="24" t="s">
        <v>23</v>
      </c>
      <c r="I162" s="24" t="s">
        <v>24</v>
      </c>
      <c r="J162" s="25" t="s">
        <v>25</v>
      </c>
      <c r="K162" s="24" t="s">
        <v>26</v>
      </c>
      <c r="L162" s="26"/>
      <c r="M162" s="26"/>
      <c r="N162" s="2"/>
      <c r="O162" s="6"/>
      <c r="P162" s="6"/>
      <c r="Q162" s="3"/>
      <c r="R162" s="4"/>
      <c r="S162" s="5"/>
      <c r="T162" s="5"/>
    </row>
    <row r="163" spans="1:27" ht="12" customHeight="1" x14ac:dyDescent="0.3">
      <c r="B163" s="30">
        <v>1</v>
      </c>
      <c r="C163" s="31" t="s">
        <v>27</v>
      </c>
      <c r="D163" s="31" t="s">
        <v>28</v>
      </c>
      <c r="E163" s="32">
        <v>0.68</v>
      </c>
      <c r="F163" s="33">
        <v>0.27</v>
      </c>
      <c r="G163" s="33">
        <f>E163+F163</f>
        <v>0.95000000000000007</v>
      </c>
      <c r="H163" s="34" t="s">
        <v>29</v>
      </c>
      <c r="I163" s="35">
        <v>1</v>
      </c>
      <c r="J163" s="36">
        <v>581340</v>
      </c>
      <c r="K163" s="37">
        <f>I163*J163</f>
        <v>581340</v>
      </c>
      <c r="L163" s="38"/>
      <c r="M163" s="38"/>
      <c r="N163" s="8"/>
      <c r="O163" s="8"/>
      <c r="P163" s="8"/>
      <c r="Q163" s="11"/>
    </row>
    <row r="164" spans="1:27" s="13" customFormat="1" ht="95.25" customHeight="1" x14ac:dyDescent="0.3">
      <c r="B164" s="30">
        <v>2</v>
      </c>
      <c r="C164" s="31" t="s">
        <v>30</v>
      </c>
      <c r="D164" s="31" t="s">
        <v>31</v>
      </c>
      <c r="E164" s="32">
        <v>0.62</v>
      </c>
      <c r="F164" s="33">
        <v>0.23</v>
      </c>
      <c r="G164" s="33">
        <f t="shared" ref="G164:G176" si="30">E164+F164</f>
        <v>0.85</v>
      </c>
      <c r="H164" s="34" t="s">
        <v>32</v>
      </c>
      <c r="I164" s="35">
        <v>0.9</v>
      </c>
      <c r="J164" s="36">
        <v>502660</v>
      </c>
      <c r="K164" s="37">
        <f t="shared" ref="K164:K176" si="31">I164*J164</f>
        <v>452394</v>
      </c>
      <c r="L164" s="38"/>
      <c r="M164" s="38"/>
      <c r="N164" s="17"/>
      <c r="O164" s="17"/>
      <c r="P164" s="17"/>
      <c r="Q164" s="94" t="s">
        <v>79</v>
      </c>
      <c r="R164" s="18"/>
      <c r="S164" s="19" t="s">
        <v>12</v>
      </c>
      <c r="T164" s="19" t="s">
        <v>13</v>
      </c>
      <c r="U164" s="20" t="s">
        <v>14</v>
      </c>
      <c r="V164" s="21" t="s">
        <v>15</v>
      </c>
      <c r="W164" s="20" t="s">
        <v>16</v>
      </c>
    </row>
    <row r="165" spans="1:27" s="22" customFormat="1" ht="15" customHeight="1" x14ac:dyDescent="0.3">
      <c r="B165" s="30">
        <v>3</v>
      </c>
      <c r="C165" s="31" t="s">
        <v>33</v>
      </c>
      <c r="D165" s="31" t="s">
        <v>34</v>
      </c>
      <c r="E165" s="32">
        <v>0.7</v>
      </c>
      <c r="F165" s="33">
        <v>0.28000000000000003</v>
      </c>
      <c r="G165" s="33">
        <f t="shared" si="30"/>
        <v>0.98</v>
      </c>
      <c r="H165" s="31" t="s">
        <v>29</v>
      </c>
      <c r="I165" s="35">
        <v>1</v>
      </c>
      <c r="J165" s="36">
        <v>502660</v>
      </c>
      <c r="K165" s="37">
        <f t="shared" si="31"/>
        <v>502660</v>
      </c>
      <c r="L165" s="38"/>
      <c r="M165" s="38"/>
      <c r="N165" s="26"/>
      <c r="O165" s="26"/>
      <c r="P165" s="26"/>
      <c r="Q165" s="27"/>
      <c r="R165" s="28"/>
      <c r="S165" s="29"/>
      <c r="T165" s="29"/>
    </row>
    <row r="166" spans="1:27" ht="17.25" customHeight="1" x14ac:dyDescent="0.3">
      <c r="B166" s="44">
        <v>4</v>
      </c>
      <c r="C166" s="34" t="s">
        <v>39</v>
      </c>
      <c r="D166" s="34" t="s">
        <v>40</v>
      </c>
      <c r="E166" s="32">
        <v>0.64</v>
      </c>
      <c r="F166" s="46">
        <v>0.24</v>
      </c>
      <c r="G166" s="33">
        <f t="shared" si="30"/>
        <v>0.88</v>
      </c>
      <c r="H166" s="34" t="s">
        <v>32</v>
      </c>
      <c r="I166" s="35">
        <v>0.9</v>
      </c>
      <c r="J166" s="48">
        <v>502660</v>
      </c>
      <c r="K166" s="37">
        <f t="shared" si="31"/>
        <v>452394</v>
      </c>
      <c r="L166" s="38"/>
      <c r="M166" s="38"/>
      <c r="N166" s="38"/>
      <c r="O166" s="38"/>
      <c r="P166" s="38"/>
      <c r="Q166" s="39">
        <v>22</v>
      </c>
      <c r="R166" s="40">
        <v>20</v>
      </c>
      <c r="S166" s="41">
        <v>0.97</v>
      </c>
      <c r="T166">
        <f>R166/Q166</f>
        <v>0.90909090909090906</v>
      </c>
      <c r="U166" s="1">
        <f>S166*70</f>
        <v>67.899999999999991</v>
      </c>
      <c r="V166" s="42">
        <f>T166*30%</f>
        <v>0.27272727272727271</v>
      </c>
      <c r="W166" s="43">
        <f>U166+V166</f>
        <v>68.172727272727258</v>
      </c>
    </row>
    <row r="167" spans="1:27" ht="17.25" customHeight="1" x14ac:dyDescent="0.3">
      <c r="B167" s="55">
        <v>5</v>
      </c>
      <c r="C167" s="56" t="s">
        <v>42</v>
      </c>
      <c r="D167" s="56" t="s">
        <v>43</v>
      </c>
      <c r="E167" s="45">
        <v>0</v>
      </c>
      <c r="F167" s="46">
        <v>0.3</v>
      </c>
      <c r="G167" s="33">
        <f t="shared" si="30"/>
        <v>0.3</v>
      </c>
      <c r="H167" s="34" t="s">
        <v>44</v>
      </c>
      <c r="I167" s="47">
        <v>0.1</v>
      </c>
      <c r="J167" s="48">
        <v>502660</v>
      </c>
      <c r="K167" s="37">
        <f t="shared" si="31"/>
        <v>50266</v>
      </c>
      <c r="L167" s="38"/>
      <c r="M167" s="38"/>
      <c r="N167" s="38"/>
      <c r="O167" s="38"/>
      <c r="P167" s="38"/>
      <c r="Q167" s="39">
        <v>22</v>
      </c>
      <c r="R167" s="40">
        <v>17</v>
      </c>
      <c r="S167" s="41">
        <v>0.88</v>
      </c>
      <c r="T167">
        <f t="shared" ref="T167" si="32">R167/Q167</f>
        <v>0.77272727272727271</v>
      </c>
      <c r="U167" s="1">
        <f t="shared" ref="U167:U179" si="33">S167*70</f>
        <v>61.6</v>
      </c>
      <c r="V167" s="42">
        <f t="shared" ref="V167:V179" si="34">T167*30%</f>
        <v>0.23181818181818181</v>
      </c>
      <c r="W167" s="43">
        <f t="shared" ref="W167" si="35">U167+V167</f>
        <v>61.831818181818186</v>
      </c>
    </row>
    <row r="168" spans="1:27" ht="17.25" customHeight="1" x14ac:dyDescent="0.3">
      <c r="B168" s="30">
        <v>6</v>
      </c>
      <c r="C168" s="31" t="s">
        <v>46</v>
      </c>
      <c r="D168" s="31" t="s">
        <v>47</v>
      </c>
      <c r="E168" s="32">
        <v>0.48</v>
      </c>
      <c r="F168" s="33">
        <v>0.28000000000000003</v>
      </c>
      <c r="G168" s="33">
        <f t="shared" si="30"/>
        <v>0.76</v>
      </c>
      <c r="H168" s="34" t="s">
        <v>35</v>
      </c>
      <c r="I168" s="35">
        <v>0.7</v>
      </c>
      <c r="J168" s="36">
        <v>502660</v>
      </c>
      <c r="K168" s="37">
        <f t="shared" si="31"/>
        <v>351862</v>
      </c>
      <c r="L168" s="38"/>
      <c r="M168" s="38"/>
      <c r="N168" s="38"/>
      <c r="O168" s="38"/>
      <c r="P168" s="38"/>
      <c r="Q168" s="39">
        <v>22</v>
      </c>
      <c r="R168" s="40">
        <v>21</v>
      </c>
      <c r="S168" s="41">
        <v>1</v>
      </c>
      <c r="T168">
        <f>R168/Q168</f>
        <v>0.95454545454545459</v>
      </c>
      <c r="U168" s="1">
        <f t="shared" si="33"/>
        <v>70</v>
      </c>
      <c r="V168" s="42">
        <f t="shared" si="34"/>
        <v>0.28636363636363638</v>
      </c>
      <c r="W168" s="43">
        <f>U168+V168</f>
        <v>70.286363636363632</v>
      </c>
      <c r="Y168" s="5" t="s">
        <v>36</v>
      </c>
      <c r="Z168" s="49" t="s">
        <v>37</v>
      </c>
      <c r="AA168" s="49" t="s">
        <v>38</v>
      </c>
    </row>
    <row r="169" spans="1:27" s="50" customFormat="1" ht="17.25" customHeight="1" x14ac:dyDescent="0.3">
      <c r="B169" s="30">
        <v>7</v>
      </c>
      <c r="C169" s="31" t="s">
        <v>49</v>
      </c>
      <c r="D169" s="31" t="s">
        <v>50</v>
      </c>
      <c r="E169" s="32">
        <v>0.62</v>
      </c>
      <c r="F169" s="33">
        <v>0.09</v>
      </c>
      <c r="G169" s="33">
        <f t="shared" si="30"/>
        <v>0.71</v>
      </c>
      <c r="H169" s="34" t="s">
        <v>35</v>
      </c>
      <c r="I169" s="35">
        <v>0.7</v>
      </c>
      <c r="J169" s="36">
        <v>437100</v>
      </c>
      <c r="K169" s="37">
        <f t="shared" si="31"/>
        <v>305970</v>
      </c>
      <c r="L169" s="38"/>
      <c r="M169" s="38"/>
      <c r="N169" s="38"/>
      <c r="O169" s="38"/>
      <c r="P169" s="38"/>
      <c r="Q169" s="39">
        <v>22</v>
      </c>
      <c r="R169" s="51">
        <v>18</v>
      </c>
      <c r="S169" s="41">
        <v>0.91</v>
      </c>
      <c r="T169">
        <f>R169/Q169</f>
        <v>0.81818181818181823</v>
      </c>
      <c r="U169" s="1">
        <f t="shared" si="33"/>
        <v>63.7</v>
      </c>
      <c r="V169" s="42">
        <f t="shared" si="34"/>
        <v>0.24545454545454545</v>
      </c>
      <c r="W169" s="43">
        <f t="shared" ref="W169:W179" si="36">U169+V169</f>
        <v>63.945454545454545</v>
      </c>
      <c r="Y169" s="52" t="s">
        <v>41</v>
      </c>
      <c r="Z169" s="50" t="s">
        <v>29</v>
      </c>
      <c r="AA169" s="53">
        <v>1</v>
      </c>
    </row>
    <row r="170" spans="1:27" s="54" customFormat="1" ht="17.25" customHeight="1" x14ac:dyDescent="0.3">
      <c r="B170" s="30">
        <v>8</v>
      </c>
      <c r="C170" s="31" t="s">
        <v>53</v>
      </c>
      <c r="D170" s="31" t="s">
        <v>54</v>
      </c>
      <c r="E170" s="32">
        <v>0.7</v>
      </c>
      <c r="F170" s="33">
        <v>0.3</v>
      </c>
      <c r="G170" s="33">
        <f t="shared" si="30"/>
        <v>1</v>
      </c>
      <c r="H170" s="34" t="s">
        <v>29</v>
      </c>
      <c r="I170" s="35">
        <v>1</v>
      </c>
      <c r="J170" s="36">
        <v>437100</v>
      </c>
      <c r="K170" s="37">
        <f t="shared" si="31"/>
        <v>437100</v>
      </c>
      <c r="L170" s="38"/>
      <c r="M170" s="38"/>
      <c r="N170" s="38"/>
      <c r="O170" s="38"/>
      <c r="P170" s="38"/>
      <c r="Q170" s="39">
        <v>22</v>
      </c>
      <c r="R170" s="57">
        <v>22</v>
      </c>
      <c r="S170" s="58">
        <v>0</v>
      </c>
      <c r="T170">
        <f t="shared" ref="T170:T179" si="37">R170/Q170</f>
        <v>1</v>
      </c>
      <c r="U170" s="1">
        <f t="shared" si="33"/>
        <v>0</v>
      </c>
      <c r="V170" s="42">
        <f t="shared" si="34"/>
        <v>0.3</v>
      </c>
      <c r="W170" s="43">
        <f t="shared" si="36"/>
        <v>0.3</v>
      </c>
      <c r="Y170" s="59" t="s">
        <v>45</v>
      </c>
      <c r="Z170" s="54" t="s">
        <v>32</v>
      </c>
      <c r="AA170" s="60">
        <v>0.9</v>
      </c>
    </row>
    <row r="171" spans="1:27" ht="17.25" customHeight="1" x14ac:dyDescent="0.3">
      <c r="B171" s="30">
        <v>9</v>
      </c>
      <c r="C171" s="31" t="s">
        <v>58</v>
      </c>
      <c r="D171" s="31" t="s">
        <v>59</v>
      </c>
      <c r="E171" s="32">
        <v>0.62</v>
      </c>
      <c r="F171" s="33">
        <v>0.06</v>
      </c>
      <c r="G171" s="33">
        <f t="shared" si="30"/>
        <v>0.67999999999999994</v>
      </c>
      <c r="H171" s="34" t="s">
        <v>52</v>
      </c>
      <c r="I171" s="35">
        <v>0.4</v>
      </c>
      <c r="J171" s="36">
        <v>437100</v>
      </c>
      <c r="K171" s="37">
        <f t="shared" si="31"/>
        <v>174840</v>
      </c>
      <c r="L171" s="38"/>
      <c r="M171" s="38"/>
      <c r="N171" s="38"/>
      <c r="O171" s="38"/>
      <c r="P171" s="38"/>
      <c r="Q171" s="39">
        <v>22</v>
      </c>
      <c r="R171" s="40">
        <v>21</v>
      </c>
      <c r="S171" s="61">
        <v>0.68</v>
      </c>
      <c r="T171">
        <f t="shared" si="37"/>
        <v>0.95454545454545459</v>
      </c>
      <c r="U171" s="1">
        <f t="shared" si="33"/>
        <v>47.6</v>
      </c>
      <c r="V171" s="42">
        <f t="shared" si="34"/>
        <v>0.28636363636363638</v>
      </c>
      <c r="W171" s="43">
        <f t="shared" si="36"/>
        <v>47.88636363636364</v>
      </c>
      <c r="Y171" s="62" t="s">
        <v>48</v>
      </c>
      <c r="Z171" s="1" t="s">
        <v>35</v>
      </c>
      <c r="AA171" s="63">
        <v>0.7</v>
      </c>
    </row>
    <row r="172" spans="1:27" ht="17.25" customHeight="1" x14ac:dyDescent="0.3">
      <c r="B172" s="30">
        <v>10</v>
      </c>
      <c r="C172" s="31" t="s">
        <v>60</v>
      </c>
      <c r="D172" s="31" t="s">
        <v>61</v>
      </c>
      <c r="E172" s="32">
        <v>0.67</v>
      </c>
      <c r="F172" s="33">
        <v>0.3</v>
      </c>
      <c r="G172" s="33">
        <f t="shared" si="30"/>
        <v>0.97</v>
      </c>
      <c r="H172" s="34" t="s">
        <v>29</v>
      </c>
      <c r="I172" s="35">
        <v>1</v>
      </c>
      <c r="J172" s="36">
        <v>437100</v>
      </c>
      <c r="K172" s="37">
        <f t="shared" si="31"/>
        <v>437100</v>
      </c>
      <c r="L172" s="38"/>
      <c r="M172" s="38"/>
      <c r="N172" s="38"/>
      <c r="O172" s="38"/>
      <c r="P172" s="38"/>
      <c r="Q172" s="39">
        <v>22</v>
      </c>
      <c r="R172" s="40">
        <v>7</v>
      </c>
      <c r="S172" s="41">
        <v>0.89</v>
      </c>
      <c r="T172">
        <f t="shared" si="37"/>
        <v>0.31818181818181818</v>
      </c>
      <c r="U172" s="1">
        <f t="shared" si="33"/>
        <v>62.300000000000004</v>
      </c>
      <c r="V172" s="42">
        <f t="shared" si="34"/>
        <v>9.5454545454545445E-2</v>
      </c>
      <c r="W172" s="43">
        <f t="shared" si="36"/>
        <v>62.395454545454548</v>
      </c>
      <c r="Y172" s="62" t="s">
        <v>51</v>
      </c>
      <c r="Z172" s="1" t="s">
        <v>52</v>
      </c>
      <c r="AA172" s="63">
        <v>0.4</v>
      </c>
    </row>
    <row r="173" spans="1:27" ht="17.25" customHeight="1" x14ac:dyDescent="0.3">
      <c r="B173" s="30">
        <v>11</v>
      </c>
      <c r="C173" s="31" t="s">
        <v>62</v>
      </c>
      <c r="D173" s="31" t="s">
        <v>63</v>
      </c>
      <c r="E173" s="32">
        <v>0.56999999999999995</v>
      </c>
      <c r="F173" s="33">
        <v>0.27</v>
      </c>
      <c r="G173" s="33">
        <f t="shared" si="30"/>
        <v>0.84</v>
      </c>
      <c r="H173" s="87" t="s">
        <v>32</v>
      </c>
      <c r="I173" s="35">
        <v>0.9</v>
      </c>
      <c r="J173" s="36">
        <v>437100</v>
      </c>
      <c r="K173" s="37">
        <f t="shared" si="31"/>
        <v>393390</v>
      </c>
      <c r="L173" s="38"/>
      <c r="M173" s="38"/>
      <c r="N173" s="38"/>
      <c r="O173" s="38"/>
      <c r="P173" s="38"/>
      <c r="Q173" s="39">
        <v>22</v>
      </c>
      <c r="R173" s="40">
        <v>22</v>
      </c>
      <c r="S173" s="41">
        <v>1</v>
      </c>
      <c r="T173">
        <f t="shared" si="37"/>
        <v>1</v>
      </c>
      <c r="U173" s="1">
        <f t="shared" si="33"/>
        <v>70</v>
      </c>
      <c r="V173" s="42">
        <f t="shared" si="34"/>
        <v>0.3</v>
      </c>
      <c r="W173" s="43">
        <f t="shared" si="36"/>
        <v>70.3</v>
      </c>
      <c r="Y173" s="62" t="s">
        <v>55</v>
      </c>
      <c r="Z173" s="1" t="s">
        <v>56</v>
      </c>
      <c r="AA173" s="63">
        <v>0.1</v>
      </c>
    </row>
    <row r="174" spans="1:27" ht="17.25" customHeight="1" x14ac:dyDescent="0.3">
      <c r="A174" s="1" t="s">
        <v>57</v>
      </c>
      <c r="B174" s="88">
        <v>12</v>
      </c>
      <c r="C174" s="89" t="s">
        <v>64</v>
      </c>
      <c r="D174" s="89" t="s">
        <v>65</v>
      </c>
      <c r="E174" s="90">
        <v>0.64</v>
      </c>
      <c r="F174" s="91">
        <v>0.27</v>
      </c>
      <c r="G174" s="91">
        <f t="shared" si="30"/>
        <v>0.91</v>
      </c>
      <c r="H174" s="65" t="s">
        <v>29</v>
      </c>
      <c r="I174" s="92">
        <v>1</v>
      </c>
      <c r="J174" s="93">
        <v>437100</v>
      </c>
      <c r="K174" s="37">
        <f t="shared" si="31"/>
        <v>437100</v>
      </c>
      <c r="L174" s="38"/>
      <c r="M174" s="38"/>
      <c r="N174" s="38"/>
      <c r="O174" s="38"/>
      <c r="P174" s="38"/>
      <c r="Q174" s="39">
        <v>22</v>
      </c>
      <c r="R174" s="40">
        <v>5</v>
      </c>
      <c r="S174" s="41">
        <v>0.89</v>
      </c>
      <c r="T174">
        <f t="shared" si="37"/>
        <v>0.22727272727272727</v>
      </c>
      <c r="U174" s="1">
        <f t="shared" si="33"/>
        <v>62.300000000000004</v>
      </c>
      <c r="V174" s="42">
        <f t="shared" si="34"/>
        <v>6.8181818181818177E-2</v>
      </c>
      <c r="W174" s="43">
        <f t="shared" si="36"/>
        <v>62.368181818181824</v>
      </c>
      <c r="Y174" s="12"/>
    </row>
    <row r="175" spans="1:27" ht="17.25" customHeight="1" x14ac:dyDescent="0.3">
      <c r="B175" s="30">
        <v>13</v>
      </c>
      <c r="C175" s="31" t="s">
        <v>66</v>
      </c>
      <c r="D175" s="31" t="s">
        <v>67</v>
      </c>
      <c r="E175" s="32">
        <v>0.7</v>
      </c>
      <c r="F175" s="33">
        <v>0.17</v>
      </c>
      <c r="G175" s="33">
        <f t="shared" si="30"/>
        <v>0.87</v>
      </c>
      <c r="H175" s="87" t="s">
        <v>32</v>
      </c>
      <c r="I175" s="35">
        <v>0.9</v>
      </c>
      <c r="J175" s="36">
        <v>437100</v>
      </c>
      <c r="K175" s="37">
        <f t="shared" si="31"/>
        <v>393390</v>
      </c>
      <c r="L175" s="38"/>
      <c r="M175" s="38"/>
      <c r="N175" s="38"/>
      <c r="O175" s="38"/>
      <c r="P175" s="38"/>
      <c r="Q175" s="39">
        <v>22</v>
      </c>
      <c r="R175" s="40">
        <v>22</v>
      </c>
      <c r="S175" s="41">
        <v>0.96</v>
      </c>
      <c r="T175">
        <f t="shared" si="37"/>
        <v>1</v>
      </c>
      <c r="U175" s="1">
        <f t="shared" si="33"/>
        <v>67.2</v>
      </c>
      <c r="V175" s="42">
        <f t="shared" si="34"/>
        <v>0.3</v>
      </c>
      <c r="W175" s="43">
        <f t="shared" si="36"/>
        <v>67.5</v>
      </c>
    </row>
    <row r="176" spans="1:27" ht="17.25" customHeight="1" x14ac:dyDescent="0.3">
      <c r="B176" s="30">
        <v>14</v>
      </c>
      <c r="C176" s="31" t="s">
        <v>68</v>
      </c>
      <c r="D176" s="31" t="s">
        <v>69</v>
      </c>
      <c r="E176" s="32">
        <v>0.7</v>
      </c>
      <c r="F176" s="33">
        <v>0.3</v>
      </c>
      <c r="G176" s="33">
        <f t="shared" si="30"/>
        <v>1</v>
      </c>
      <c r="H176" s="34" t="s">
        <v>29</v>
      </c>
      <c r="I176" s="35">
        <v>1</v>
      </c>
      <c r="J176" s="36">
        <v>437100</v>
      </c>
      <c r="K176" s="37">
        <f t="shared" si="31"/>
        <v>437100</v>
      </c>
      <c r="L176" s="38"/>
      <c r="M176" s="38"/>
      <c r="N176" s="38"/>
      <c r="O176" s="38"/>
      <c r="P176" s="38"/>
      <c r="Q176" s="39">
        <v>22</v>
      </c>
      <c r="R176" s="40">
        <v>20</v>
      </c>
      <c r="S176" s="41">
        <v>0.82</v>
      </c>
      <c r="T176">
        <f t="shared" si="37"/>
        <v>0.90909090909090906</v>
      </c>
      <c r="U176" s="1">
        <f t="shared" si="33"/>
        <v>57.4</v>
      </c>
      <c r="V176" s="42">
        <f t="shared" si="34"/>
        <v>0.27272727272727271</v>
      </c>
      <c r="W176" s="43">
        <f t="shared" si="36"/>
        <v>57.672727272727272</v>
      </c>
    </row>
    <row r="177" spans="2:25" ht="17.25" customHeight="1" x14ac:dyDescent="0.3">
      <c r="B177" s="30"/>
      <c r="C177" s="31"/>
      <c r="D177" s="71" t="s">
        <v>16</v>
      </c>
      <c r="E177" s="31"/>
      <c r="F177" s="31"/>
      <c r="G177" s="33"/>
      <c r="H177" s="72"/>
      <c r="I177" s="72"/>
      <c r="J177" s="73">
        <f>SUM(J163:J176)</f>
        <v>6591440</v>
      </c>
      <c r="K177" s="73">
        <f>SUM(K163:K176)</f>
        <v>5406906</v>
      </c>
      <c r="L177" s="80"/>
      <c r="M177" s="80"/>
      <c r="N177" s="38"/>
      <c r="O177" s="38"/>
      <c r="P177" s="38"/>
      <c r="Q177" s="39">
        <v>22</v>
      </c>
      <c r="R177" s="40">
        <v>20</v>
      </c>
      <c r="S177" s="41">
        <v>0.92</v>
      </c>
      <c r="T177">
        <f t="shared" si="37"/>
        <v>0.90909090909090906</v>
      </c>
      <c r="U177" s="1">
        <f t="shared" si="33"/>
        <v>64.400000000000006</v>
      </c>
      <c r="V177" s="42">
        <f t="shared" si="34"/>
        <v>0.27272727272727271</v>
      </c>
      <c r="W177" s="43">
        <f t="shared" si="36"/>
        <v>64.672727272727272</v>
      </c>
    </row>
    <row r="178" spans="2:25" ht="17.25" customHeight="1" x14ac:dyDescent="0.3">
      <c r="B178" s="7"/>
      <c r="C178" s="8"/>
      <c r="D178" s="9"/>
      <c r="E178" s="9"/>
      <c r="F178" s="10"/>
      <c r="G178" s="10"/>
      <c r="H178" s="8"/>
      <c r="I178" s="11"/>
      <c r="J178" s="12"/>
      <c r="K178" s="41"/>
      <c r="L178" s="41"/>
      <c r="M178" s="41"/>
      <c r="N178" s="38"/>
      <c r="O178" s="38"/>
      <c r="P178" s="38"/>
      <c r="Q178" s="39">
        <v>22</v>
      </c>
      <c r="R178" s="40">
        <v>13</v>
      </c>
      <c r="S178" s="41">
        <v>1</v>
      </c>
      <c r="T178">
        <f t="shared" si="37"/>
        <v>0.59090909090909094</v>
      </c>
      <c r="U178" s="1">
        <f t="shared" si="33"/>
        <v>70</v>
      </c>
      <c r="V178" s="42">
        <f t="shared" si="34"/>
        <v>0.17727272727272728</v>
      </c>
      <c r="W178" s="43">
        <f t="shared" si="36"/>
        <v>70.177272727272722</v>
      </c>
    </row>
    <row r="179" spans="2:25" ht="17.25" customHeight="1" x14ac:dyDescent="0.3">
      <c r="B179" s="7"/>
      <c r="C179" s="8"/>
      <c r="D179" s="9"/>
      <c r="G179" s="8"/>
      <c r="H179" s="8"/>
      <c r="I179" s="213" t="s">
        <v>70</v>
      </c>
      <c r="J179" s="213"/>
      <c r="N179" s="38"/>
      <c r="O179" s="38"/>
      <c r="P179" s="38"/>
      <c r="Q179" s="39">
        <v>22</v>
      </c>
      <c r="R179" s="40">
        <v>22</v>
      </c>
      <c r="S179" s="41">
        <v>1</v>
      </c>
      <c r="T179">
        <f t="shared" si="37"/>
        <v>1</v>
      </c>
      <c r="U179" s="1">
        <f t="shared" si="33"/>
        <v>70</v>
      </c>
      <c r="V179" s="42">
        <f t="shared" si="34"/>
        <v>0.3</v>
      </c>
      <c r="W179" s="43">
        <f t="shared" si="36"/>
        <v>70.3</v>
      </c>
    </row>
    <row r="180" spans="2:25" s="83" customFormat="1" ht="20.25" customHeight="1" x14ac:dyDescent="0.3">
      <c r="B180" s="7"/>
      <c r="C180" s="8"/>
      <c r="D180" s="9"/>
      <c r="E180" s="1"/>
      <c r="F180" s="1"/>
      <c r="G180" s="8"/>
      <c r="H180" s="8"/>
      <c r="I180" s="213"/>
      <c r="J180" s="213"/>
      <c r="K180" s="1"/>
      <c r="L180" s="1"/>
      <c r="M180" s="1"/>
      <c r="N180" s="80"/>
      <c r="O180" s="75"/>
      <c r="P180" s="75"/>
      <c r="Q180" s="81"/>
      <c r="R180" s="82"/>
      <c r="S180" s="41"/>
    </row>
    <row r="181" spans="2:25" ht="12" customHeight="1" x14ac:dyDescent="0.3">
      <c r="B181" s="7"/>
      <c r="C181" s="8"/>
      <c r="D181" s="9"/>
      <c r="G181" s="8"/>
      <c r="H181" s="8"/>
      <c r="I181" s="9"/>
      <c r="J181" s="10"/>
      <c r="N181" s="41"/>
      <c r="Q181" s="1"/>
      <c r="R181" s="1"/>
    </row>
    <row r="182" spans="2:25" ht="15.6" x14ac:dyDescent="0.3">
      <c r="B182" s="7"/>
      <c r="C182" s="8"/>
      <c r="D182" s="9"/>
      <c r="G182" s="8"/>
      <c r="H182" s="8"/>
      <c r="I182" s="9"/>
      <c r="J182" s="10"/>
      <c r="Q182" s="1"/>
      <c r="R182" s="1"/>
    </row>
    <row r="183" spans="2:25" ht="15.6" x14ac:dyDescent="0.3">
      <c r="B183" s="7"/>
      <c r="C183" s="8"/>
      <c r="D183" s="9"/>
      <c r="G183" s="8"/>
      <c r="H183" s="8"/>
      <c r="I183" s="9"/>
      <c r="J183" s="10"/>
      <c r="Q183" s="1"/>
      <c r="R183" s="1"/>
      <c r="Y183" s="63"/>
    </row>
    <row r="184" spans="2:25" ht="15.6" x14ac:dyDescent="0.3">
      <c r="B184" s="7"/>
      <c r="C184" s="8"/>
      <c r="D184" s="9"/>
      <c r="G184" s="84"/>
      <c r="H184" s="8"/>
      <c r="I184" s="214" t="s">
        <v>71</v>
      </c>
      <c r="J184" s="214"/>
      <c r="Q184" s="1"/>
      <c r="R184" s="1"/>
    </row>
    <row r="185" spans="2:25" x14ac:dyDescent="0.25">
      <c r="G185" s="95"/>
      <c r="Q185" s="1"/>
      <c r="R185" s="1"/>
    </row>
    <row r="186" spans="2:25" x14ac:dyDescent="0.25">
      <c r="G186" s="95"/>
      <c r="Q186" s="1"/>
      <c r="R186" s="1"/>
    </row>
    <row r="187" spans="2:25" x14ac:dyDescent="0.25">
      <c r="G187" s="95"/>
      <c r="Q187" s="1"/>
      <c r="R187" s="1"/>
    </row>
    <row r="188" spans="2:25" x14ac:dyDescent="0.25">
      <c r="G188" s="95"/>
    </row>
    <row r="189" spans="2:25" x14ac:dyDescent="0.25">
      <c r="G189" s="95"/>
    </row>
    <row r="190" spans="2:25" x14ac:dyDescent="0.25">
      <c r="G190" s="63"/>
    </row>
    <row r="195" spans="2:27" ht="15.6" x14ac:dyDescent="0.3">
      <c r="B195" s="212" t="s">
        <v>0</v>
      </c>
      <c r="C195" s="212"/>
      <c r="D195" s="212"/>
      <c r="E195" s="212"/>
      <c r="F195" s="212"/>
      <c r="G195" s="212"/>
      <c r="H195" s="212"/>
      <c r="I195" s="212"/>
      <c r="J195" s="212"/>
      <c r="K195" s="212"/>
      <c r="L195" s="2"/>
      <c r="M195" s="2"/>
    </row>
    <row r="196" spans="2:27" ht="15.6" x14ac:dyDescent="0.3">
      <c r="B196" s="212" t="s">
        <v>80</v>
      </c>
      <c r="C196" s="212"/>
      <c r="D196" s="212"/>
      <c r="E196" s="212"/>
      <c r="F196" s="212"/>
      <c r="G196" s="212"/>
      <c r="H196" s="212"/>
      <c r="I196" s="212"/>
      <c r="J196" s="212"/>
      <c r="K196" s="212"/>
      <c r="L196" s="2"/>
      <c r="M196" s="2"/>
    </row>
    <row r="197" spans="2:27" ht="15.6" x14ac:dyDescent="0.3">
      <c r="B197" s="7"/>
      <c r="C197" s="8"/>
      <c r="D197" s="8"/>
      <c r="E197" s="8"/>
      <c r="F197" s="8"/>
      <c r="G197" s="8"/>
      <c r="H197" s="9"/>
      <c r="I197" s="9"/>
      <c r="J197" s="10"/>
      <c r="K197" s="8"/>
      <c r="L197" s="8"/>
      <c r="M197" s="8"/>
    </row>
    <row r="198" spans="2:27" ht="93.6" x14ac:dyDescent="0.3">
      <c r="B198" s="14" t="s">
        <v>2</v>
      </c>
      <c r="C198" s="14" t="s">
        <v>3</v>
      </c>
      <c r="D198" s="14" t="s">
        <v>4</v>
      </c>
      <c r="E198" s="15" t="s">
        <v>5</v>
      </c>
      <c r="F198" s="15" t="s">
        <v>6</v>
      </c>
      <c r="G198" s="15" t="s">
        <v>7</v>
      </c>
      <c r="H198" s="15" t="s">
        <v>8</v>
      </c>
      <c r="I198" s="15" t="s">
        <v>9</v>
      </c>
      <c r="J198" s="16" t="s">
        <v>10</v>
      </c>
      <c r="K198" s="15" t="s">
        <v>11</v>
      </c>
      <c r="L198" s="17"/>
      <c r="M198" s="17"/>
      <c r="N198" s="2"/>
      <c r="O198" s="2"/>
      <c r="P198" s="2"/>
      <c r="Q198" s="3"/>
      <c r="R198" s="4"/>
      <c r="S198" s="5"/>
      <c r="T198" s="5"/>
    </row>
    <row r="199" spans="2:27" ht="15.6" x14ac:dyDescent="0.3">
      <c r="B199" s="23" t="s">
        <v>17</v>
      </c>
      <c r="C199" s="23" t="s">
        <v>18</v>
      </c>
      <c r="D199" s="23" t="s">
        <v>19</v>
      </c>
      <c r="E199" s="23" t="s">
        <v>20</v>
      </c>
      <c r="F199" s="23" t="s">
        <v>21</v>
      </c>
      <c r="G199" s="23" t="s">
        <v>22</v>
      </c>
      <c r="H199" s="24" t="s">
        <v>23</v>
      </c>
      <c r="I199" s="24" t="s">
        <v>24</v>
      </c>
      <c r="J199" s="25" t="s">
        <v>25</v>
      </c>
      <c r="K199" s="24" t="s">
        <v>26</v>
      </c>
      <c r="L199" s="26"/>
      <c r="M199" s="26"/>
      <c r="N199" s="2"/>
      <c r="O199" s="6"/>
      <c r="P199" s="6"/>
      <c r="Q199" s="3"/>
      <c r="R199" s="4"/>
      <c r="S199" s="5"/>
      <c r="T199" s="5"/>
    </row>
    <row r="200" spans="2:27" ht="12" customHeight="1" x14ac:dyDescent="0.3">
      <c r="B200" s="30">
        <v>1</v>
      </c>
      <c r="C200" s="31" t="s">
        <v>27</v>
      </c>
      <c r="D200" s="31" t="s">
        <v>28</v>
      </c>
      <c r="E200" s="32">
        <v>0.68</v>
      </c>
      <c r="F200" s="33">
        <v>0.27</v>
      </c>
      <c r="G200" s="33">
        <f>E200+F200</f>
        <v>0.95000000000000007</v>
      </c>
      <c r="H200" s="34" t="s">
        <v>29</v>
      </c>
      <c r="I200" s="35">
        <v>1</v>
      </c>
      <c r="J200" s="36">
        <v>581340</v>
      </c>
      <c r="K200" s="37">
        <f>I200*J200</f>
        <v>581340</v>
      </c>
      <c r="L200" s="38"/>
      <c r="M200" s="38"/>
      <c r="N200" s="8"/>
      <c r="O200" s="8"/>
      <c r="P200" s="8"/>
      <c r="Q200" s="11"/>
    </row>
    <row r="201" spans="2:27" s="13" customFormat="1" ht="95.25" customHeight="1" x14ac:dyDescent="0.3">
      <c r="B201" s="30">
        <v>2</v>
      </c>
      <c r="C201" s="31" t="s">
        <v>30</v>
      </c>
      <c r="D201" s="31" t="s">
        <v>31</v>
      </c>
      <c r="E201" s="32">
        <v>0.62</v>
      </c>
      <c r="F201" s="33">
        <v>0.28000000000000003</v>
      </c>
      <c r="G201" s="33">
        <f t="shared" ref="G201:G213" si="38">E201+F201</f>
        <v>0.9</v>
      </c>
      <c r="H201" s="34" t="s">
        <v>32</v>
      </c>
      <c r="I201" s="35">
        <v>0.9</v>
      </c>
      <c r="J201" s="36">
        <v>502660</v>
      </c>
      <c r="K201" s="37">
        <f t="shared" ref="K201:K213" si="39">I201*J201</f>
        <v>452394</v>
      </c>
      <c r="L201" s="38"/>
      <c r="M201" s="38"/>
      <c r="N201" s="17"/>
      <c r="O201" s="17"/>
      <c r="P201" s="17"/>
      <c r="Q201" s="94"/>
      <c r="R201" s="18"/>
      <c r="S201" s="19" t="s">
        <v>12</v>
      </c>
      <c r="T201" s="19" t="s">
        <v>13</v>
      </c>
      <c r="U201" s="20" t="s">
        <v>14</v>
      </c>
      <c r="V201" s="21" t="s">
        <v>15</v>
      </c>
      <c r="W201" s="20" t="s">
        <v>16</v>
      </c>
    </row>
    <row r="202" spans="2:27" s="22" customFormat="1" ht="15" customHeight="1" x14ac:dyDescent="0.3">
      <c r="B202" s="30">
        <v>3</v>
      </c>
      <c r="C202" s="31" t="s">
        <v>33</v>
      </c>
      <c r="D202" s="31" t="s">
        <v>34</v>
      </c>
      <c r="E202" s="32">
        <v>0.64</v>
      </c>
      <c r="F202" s="33">
        <v>0.26</v>
      </c>
      <c r="G202" s="33">
        <f t="shared" si="38"/>
        <v>0.9</v>
      </c>
      <c r="H202" s="31" t="s">
        <v>32</v>
      </c>
      <c r="I202" s="35">
        <v>0.9</v>
      </c>
      <c r="J202" s="36">
        <v>502660</v>
      </c>
      <c r="K202" s="37">
        <f t="shared" si="39"/>
        <v>452394</v>
      </c>
      <c r="L202" s="38"/>
      <c r="M202" s="38"/>
      <c r="N202" s="26"/>
      <c r="O202" s="26"/>
      <c r="P202" s="26"/>
      <c r="Q202" s="27"/>
      <c r="R202" s="28"/>
      <c r="S202" s="29"/>
      <c r="T202" s="29"/>
    </row>
    <row r="203" spans="2:27" ht="17.25" customHeight="1" x14ac:dyDescent="0.3">
      <c r="B203" s="44">
        <v>4</v>
      </c>
      <c r="C203" s="34" t="s">
        <v>39</v>
      </c>
      <c r="D203" s="34" t="s">
        <v>40</v>
      </c>
      <c r="E203" s="32">
        <v>0.66</v>
      </c>
      <c r="F203" s="46">
        <v>0.23</v>
      </c>
      <c r="G203" s="33">
        <f t="shared" si="38"/>
        <v>0.89</v>
      </c>
      <c r="H203" s="34" t="s">
        <v>32</v>
      </c>
      <c r="I203" s="35">
        <v>0.9</v>
      </c>
      <c r="J203" s="48">
        <v>502660</v>
      </c>
      <c r="K203" s="37">
        <f t="shared" si="39"/>
        <v>452394</v>
      </c>
      <c r="L203" s="38"/>
      <c r="M203" s="38"/>
      <c r="N203" s="38"/>
      <c r="O203" s="38"/>
      <c r="P203" s="38"/>
      <c r="Q203" s="39">
        <v>22</v>
      </c>
      <c r="R203" s="40">
        <v>20</v>
      </c>
      <c r="S203" s="41">
        <v>0.97</v>
      </c>
      <c r="T203">
        <f>R203/Q203</f>
        <v>0.90909090909090906</v>
      </c>
      <c r="U203" s="1">
        <f>S203*70</f>
        <v>67.899999999999991</v>
      </c>
      <c r="V203" s="42">
        <f>T203*30</f>
        <v>27.272727272727273</v>
      </c>
      <c r="W203" s="43">
        <f>U203+V203</f>
        <v>95.172727272727258</v>
      </c>
    </row>
    <row r="204" spans="2:27" ht="17.25" customHeight="1" x14ac:dyDescent="0.3">
      <c r="B204" s="55">
        <v>5</v>
      </c>
      <c r="C204" s="56" t="s">
        <v>42</v>
      </c>
      <c r="D204" s="56" t="s">
        <v>43</v>
      </c>
      <c r="E204" s="45">
        <v>0</v>
      </c>
      <c r="F204" s="46">
        <v>0.3</v>
      </c>
      <c r="G204" s="33">
        <f t="shared" si="38"/>
        <v>0.3</v>
      </c>
      <c r="H204" s="34" t="s">
        <v>44</v>
      </c>
      <c r="I204" s="47">
        <v>0.1</v>
      </c>
      <c r="J204" s="48">
        <v>502660</v>
      </c>
      <c r="K204" s="37">
        <f t="shared" si="39"/>
        <v>50266</v>
      </c>
      <c r="L204" s="38"/>
      <c r="M204" s="38"/>
      <c r="N204" s="38"/>
      <c r="O204" s="38"/>
      <c r="P204" s="38"/>
      <c r="Q204" s="39">
        <v>22</v>
      </c>
      <c r="R204" s="40">
        <v>21</v>
      </c>
      <c r="S204" s="41">
        <v>0.88</v>
      </c>
      <c r="T204">
        <f t="shared" ref="T204" si="40">R204/Q204</f>
        <v>0.95454545454545459</v>
      </c>
      <c r="U204" s="1">
        <f t="shared" ref="U204" si="41">S204*70</f>
        <v>61.6</v>
      </c>
      <c r="V204" s="42">
        <f t="shared" ref="V204:V216" si="42">T204*30</f>
        <v>28.636363636363637</v>
      </c>
      <c r="W204" s="43">
        <f t="shared" ref="W204" si="43">U204+V204</f>
        <v>90.236363636363635</v>
      </c>
    </row>
    <row r="205" spans="2:27" ht="17.25" customHeight="1" x14ac:dyDescent="0.3">
      <c r="B205" s="30">
        <v>6</v>
      </c>
      <c r="C205" s="31" t="s">
        <v>46</v>
      </c>
      <c r="D205" s="31" t="s">
        <v>47</v>
      </c>
      <c r="E205" s="32">
        <v>0.66</v>
      </c>
      <c r="F205" s="33">
        <v>0.25</v>
      </c>
      <c r="G205" s="33">
        <f t="shared" si="38"/>
        <v>0.91</v>
      </c>
      <c r="H205" s="34" t="s">
        <v>29</v>
      </c>
      <c r="I205" s="35">
        <v>1</v>
      </c>
      <c r="J205" s="36">
        <v>502660</v>
      </c>
      <c r="K205" s="37">
        <f t="shared" si="39"/>
        <v>502660</v>
      </c>
      <c r="L205" s="38"/>
      <c r="M205" s="38"/>
      <c r="N205" s="38"/>
      <c r="O205" s="38"/>
      <c r="P205" s="38"/>
      <c r="Q205" s="39">
        <v>22</v>
      </c>
      <c r="R205" s="40">
        <v>19</v>
      </c>
      <c r="S205" s="41">
        <v>0.92</v>
      </c>
      <c r="T205">
        <f>R205/Q205</f>
        <v>0.86363636363636365</v>
      </c>
      <c r="U205" s="1">
        <f>S205*70</f>
        <v>64.400000000000006</v>
      </c>
      <c r="V205" s="42">
        <f t="shared" si="42"/>
        <v>25.90909090909091</v>
      </c>
      <c r="W205" s="43">
        <f>U205+V205</f>
        <v>90.309090909090912</v>
      </c>
      <c r="Y205" s="5" t="s">
        <v>36</v>
      </c>
      <c r="Z205" s="49" t="s">
        <v>37</v>
      </c>
      <c r="AA205" s="49" t="s">
        <v>38</v>
      </c>
    </row>
    <row r="206" spans="2:27" s="50" customFormat="1" ht="17.25" customHeight="1" x14ac:dyDescent="0.3">
      <c r="B206" s="30">
        <v>7</v>
      </c>
      <c r="C206" s="31" t="s">
        <v>49</v>
      </c>
      <c r="D206" s="31" t="s">
        <v>50</v>
      </c>
      <c r="E206" s="32">
        <v>0.48</v>
      </c>
      <c r="F206" s="33">
        <v>0.08</v>
      </c>
      <c r="G206" s="33">
        <f t="shared" si="38"/>
        <v>0.55999999999999994</v>
      </c>
      <c r="H206" s="34" t="s">
        <v>44</v>
      </c>
      <c r="I206" s="35">
        <v>0.1</v>
      </c>
      <c r="J206" s="36">
        <v>437100</v>
      </c>
      <c r="K206" s="37">
        <f t="shared" si="39"/>
        <v>43710</v>
      </c>
      <c r="L206" s="38"/>
      <c r="M206" s="38"/>
      <c r="N206" s="38"/>
      <c r="O206" s="38"/>
      <c r="P206" s="38"/>
      <c r="Q206" s="39">
        <v>22</v>
      </c>
      <c r="R206" s="51">
        <v>17</v>
      </c>
      <c r="S206" s="41">
        <v>0.94</v>
      </c>
      <c r="T206">
        <f>R206/Q206</f>
        <v>0.77272727272727271</v>
      </c>
      <c r="U206" s="1">
        <f t="shared" ref="U206:U207" si="44">S206*70</f>
        <v>65.8</v>
      </c>
      <c r="V206" s="42">
        <f t="shared" si="42"/>
        <v>23.18181818181818</v>
      </c>
      <c r="W206" s="43">
        <f t="shared" ref="W206:W216" si="45">U206+V206</f>
        <v>88.98181818181817</v>
      </c>
      <c r="Y206" s="52" t="s">
        <v>41</v>
      </c>
      <c r="Z206" s="50" t="s">
        <v>29</v>
      </c>
      <c r="AA206" s="53">
        <v>1</v>
      </c>
    </row>
    <row r="207" spans="2:27" s="54" customFormat="1" ht="17.25" customHeight="1" x14ac:dyDescent="0.3">
      <c r="B207" s="30">
        <v>8</v>
      </c>
      <c r="C207" s="31" t="s">
        <v>53</v>
      </c>
      <c r="D207" s="31" t="s">
        <v>54</v>
      </c>
      <c r="E207" s="32">
        <v>0.7</v>
      </c>
      <c r="F207" s="33">
        <v>0.3</v>
      </c>
      <c r="G207" s="33">
        <f t="shared" si="38"/>
        <v>1</v>
      </c>
      <c r="H207" s="34" t="s">
        <v>29</v>
      </c>
      <c r="I207" s="35">
        <v>1</v>
      </c>
      <c r="J207" s="36">
        <v>437100</v>
      </c>
      <c r="K207" s="37">
        <f t="shared" si="39"/>
        <v>437100</v>
      </c>
      <c r="L207" s="38"/>
      <c r="M207" s="38"/>
      <c r="N207" s="38"/>
      <c r="O207" s="38"/>
      <c r="P207" s="38"/>
      <c r="Q207" s="39">
        <v>22</v>
      </c>
      <c r="R207" s="57">
        <v>22</v>
      </c>
      <c r="S207" s="58">
        <v>0</v>
      </c>
      <c r="T207">
        <f t="shared" ref="T207:T217" si="46">R207/Q207</f>
        <v>1</v>
      </c>
      <c r="U207" s="1">
        <f t="shared" si="44"/>
        <v>0</v>
      </c>
      <c r="V207" s="42">
        <f t="shared" si="42"/>
        <v>30</v>
      </c>
      <c r="W207" s="43">
        <f t="shared" si="45"/>
        <v>30</v>
      </c>
      <c r="Y207" s="59" t="s">
        <v>45</v>
      </c>
      <c r="Z207" s="54" t="s">
        <v>32</v>
      </c>
      <c r="AA207" s="60">
        <v>0.9</v>
      </c>
    </row>
    <row r="208" spans="2:27" ht="17.25" customHeight="1" x14ac:dyDescent="0.3">
      <c r="B208" s="30">
        <v>9</v>
      </c>
      <c r="C208" s="31" t="s">
        <v>58</v>
      </c>
      <c r="D208" s="31" t="s">
        <v>59</v>
      </c>
      <c r="E208" s="32">
        <v>0.57999999999999996</v>
      </c>
      <c r="F208" s="33">
        <v>0.08</v>
      </c>
      <c r="G208" s="33">
        <f t="shared" si="38"/>
        <v>0.65999999999999992</v>
      </c>
      <c r="H208" s="34" t="s">
        <v>52</v>
      </c>
      <c r="I208" s="35">
        <v>0.4</v>
      </c>
      <c r="J208" s="36">
        <v>437100</v>
      </c>
      <c r="K208" s="37">
        <f t="shared" si="39"/>
        <v>174840</v>
      </c>
      <c r="L208" s="38"/>
      <c r="M208" s="38"/>
      <c r="N208" s="38"/>
      <c r="O208" s="38"/>
      <c r="P208" s="38"/>
      <c r="Q208" s="39">
        <v>22</v>
      </c>
      <c r="R208" s="40">
        <v>18</v>
      </c>
      <c r="S208" s="61">
        <v>0.95</v>
      </c>
      <c r="T208">
        <f t="shared" si="46"/>
        <v>0.81818181818181823</v>
      </c>
      <c r="U208" s="1">
        <f>S208*70</f>
        <v>66.5</v>
      </c>
      <c r="V208" s="42">
        <f t="shared" si="42"/>
        <v>24.545454545454547</v>
      </c>
      <c r="W208" s="43">
        <f t="shared" si="45"/>
        <v>91.045454545454547</v>
      </c>
      <c r="Y208" s="62" t="s">
        <v>48</v>
      </c>
      <c r="Z208" s="1" t="s">
        <v>35</v>
      </c>
      <c r="AA208" s="63">
        <v>0.7</v>
      </c>
    </row>
    <row r="209" spans="2:27" ht="17.25" customHeight="1" x14ac:dyDescent="0.3">
      <c r="B209" s="30">
        <v>10</v>
      </c>
      <c r="C209" s="31" t="s">
        <v>60</v>
      </c>
      <c r="D209" s="31" t="s">
        <v>61</v>
      </c>
      <c r="E209" s="32">
        <v>0.48</v>
      </c>
      <c r="F209" s="33">
        <v>0.28999999999999998</v>
      </c>
      <c r="G209" s="33">
        <f t="shared" si="38"/>
        <v>0.77</v>
      </c>
      <c r="H209" s="34" t="s">
        <v>35</v>
      </c>
      <c r="I209" s="35">
        <v>0.7</v>
      </c>
      <c r="J209" s="36">
        <v>437100</v>
      </c>
      <c r="K209" s="37">
        <f t="shared" si="39"/>
        <v>305970</v>
      </c>
      <c r="L209" s="38"/>
      <c r="M209" s="38"/>
      <c r="N209" s="38"/>
      <c r="O209" s="38"/>
      <c r="P209" s="38"/>
      <c r="Q209" s="39">
        <v>22</v>
      </c>
      <c r="R209" s="40">
        <v>6</v>
      </c>
      <c r="S209" s="41">
        <v>0.69</v>
      </c>
      <c r="T209">
        <f t="shared" si="46"/>
        <v>0.27272727272727271</v>
      </c>
      <c r="U209" s="1">
        <f t="shared" ref="U209:U215" si="47">S209*70</f>
        <v>48.3</v>
      </c>
      <c r="V209" s="42">
        <f t="shared" si="42"/>
        <v>8.1818181818181817</v>
      </c>
      <c r="W209" s="43">
        <f t="shared" si="45"/>
        <v>56.481818181818177</v>
      </c>
      <c r="Y209" s="62" t="s">
        <v>51</v>
      </c>
      <c r="Z209" s="1" t="s">
        <v>52</v>
      </c>
      <c r="AA209" s="63">
        <v>0.4</v>
      </c>
    </row>
    <row r="210" spans="2:27" ht="17.25" customHeight="1" x14ac:dyDescent="0.3">
      <c r="B210" s="30">
        <v>11</v>
      </c>
      <c r="C210" s="31" t="s">
        <v>62</v>
      </c>
      <c r="D210" s="31" t="s">
        <v>63</v>
      </c>
      <c r="E210" s="32">
        <v>0.62</v>
      </c>
      <c r="F210" s="33">
        <v>0.3</v>
      </c>
      <c r="G210" s="33">
        <f t="shared" si="38"/>
        <v>0.91999999999999993</v>
      </c>
      <c r="H210" s="87" t="s">
        <v>29</v>
      </c>
      <c r="I210" s="35">
        <v>1</v>
      </c>
      <c r="J210" s="36">
        <v>437100</v>
      </c>
      <c r="K210" s="37">
        <f t="shared" si="39"/>
        <v>437100</v>
      </c>
      <c r="L210" s="38"/>
      <c r="M210" s="38"/>
      <c r="N210" s="38"/>
      <c r="O210" s="38"/>
      <c r="P210" s="38"/>
      <c r="Q210" s="39">
        <v>22</v>
      </c>
      <c r="R210" s="40">
        <v>22</v>
      </c>
      <c r="S210" s="41">
        <v>1</v>
      </c>
      <c r="T210">
        <f t="shared" si="46"/>
        <v>1</v>
      </c>
      <c r="U210" s="1">
        <f t="shared" si="47"/>
        <v>70</v>
      </c>
      <c r="V210" s="42">
        <f t="shared" si="42"/>
        <v>30</v>
      </c>
      <c r="W210" s="43">
        <f t="shared" si="45"/>
        <v>100</v>
      </c>
      <c r="Y210" s="62" t="s">
        <v>55</v>
      </c>
      <c r="Z210" s="1" t="s">
        <v>56</v>
      </c>
      <c r="AA210" s="63">
        <v>0.1</v>
      </c>
    </row>
    <row r="211" spans="2:27" ht="17.25" customHeight="1" x14ac:dyDescent="0.3">
      <c r="B211" s="88">
        <v>12</v>
      </c>
      <c r="C211" s="89" t="s">
        <v>64</v>
      </c>
      <c r="D211" s="89" t="s">
        <v>65</v>
      </c>
      <c r="E211" s="90">
        <v>0.56999999999999995</v>
      </c>
      <c r="F211" s="91">
        <v>0.26</v>
      </c>
      <c r="G211" s="91">
        <f t="shared" si="38"/>
        <v>0.83</v>
      </c>
      <c r="H211" s="65" t="s">
        <v>32</v>
      </c>
      <c r="I211" s="92">
        <v>0.9</v>
      </c>
      <c r="J211" s="93">
        <v>437100</v>
      </c>
      <c r="K211" s="37">
        <f t="shared" si="39"/>
        <v>393390</v>
      </c>
      <c r="L211" s="38"/>
      <c r="M211" s="38"/>
      <c r="N211" s="38"/>
      <c r="O211" s="38"/>
      <c r="P211" s="38"/>
      <c r="Q211" s="39">
        <v>22</v>
      </c>
      <c r="R211" s="40">
        <v>6</v>
      </c>
      <c r="S211" s="41">
        <v>0.87</v>
      </c>
      <c r="T211">
        <f t="shared" si="46"/>
        <v>0.27272727272727271</v>
      </c>
      <c r="U211" s="1">
        <f t="shared" si="47"/>
        <v>60.9</v>
      </c>
      <c r="V211" s="42">
        <f t="shared" si="42"/>
        <v>8.1818181818181817</v>
      </c>
      <c r="W211" s="43">
        <f t="shared" si="45"/>
        <v>69.081818181818178</v>
      </c>
      <c r="Y211" s="12"/>
    </row>
    <row r="212" spans="2:27" ht="17.25" customHeight="1" x14ac:dyDescent="0.3">
      <c r="B212" s="30">
        <v>13</v>
      </c>
      <c r="C212" s="31" t="s">
        <v>66</v>
      </c>
      <c r="D212" s="31" t="s">
        <v>67</v>
      </c>
      <c r="E212" s="32">
        <v>0.57999999999999996</v>
      </c>
      <c r="F212" s="33">
        <v>0.23</v>
      </c>
      <c r="G212" s="33">
        <f t="shared" si="38"/>
        <v>0.80999999999999994</v>
      </c>
      <c r="H212" s="87" t="s">
        <v>32</v>
      </c>
      <c r="I212" s="35">
        <v>0.9</v>
      </c>
      <c r="J212" s="36">
        <v>437100</v>
      </c>
      <c r="K212" s="37">
        <f t="shared" si="39"/>
        <v>393390</v>
      </c>
      <c r="L212" s="38"/>
      <c r="M212" s="38"/>
      <c r="N212" s="38"/>
      <c r="O212" s="38"/>
      <c r="P212" s="38"/>
      <c r="Q212" s="39">
        <v>22</v>
      </c>
      <c r="R212" s="40">
        <v>21</v>
      </c>
      <c r="S212" s="41">
        <v>0.71</v>
      </c>
      <c r="T212">
        <f t="shared" si="46"/>
        <v>0.95454545454545459</v>
      </c>
      <c r="U212" s="1">
        <f t="shared" si="47"/>
        <v>49.699999999999996</v>
      </c>
      <c r="V212" s="42">
        <f t="shared" si="42"/>
        <v>28.636363636363637</v>
      </c>
      <c r="W212" s="43">
        <f t="shared" si="45"/>
        <v>78.336363636363629</v>
      </c>
    </row>
    <row r="213" spans="2:27" ht="17.25" customHeight="1" x14ac:dyDescent="0.3">
      <c r="B213" s="30">
        <v>14</v>
      </c>
      <c r="C213" s="31" t="s">
        <v>68</v>
      </c>
      <c r="D213" s="31" t="s">
        <v>69</v>
      </c>
      <c r="E213" s="32">
        <v>0.66</v>
      </c>
      <c r="F213" s="33">
        <v>0.3</v>
      </c>
      <c r="G213" s="33">
        <f t="shared" si="38"/>
        <v>0.96</v>
      </c>
      <c r="H213" s="34" t="s">
        <v>29</v>
      </c>
      <c r="I213" s="35">
        <v>1</v>
      </c>
      <c r="J213" s="36">
        <v>437100</v>
      </c>
      <c r="K213" s="37">
        <f t="shared" si="39"/>
        <v>437100</v>
      </c>
      <c r="L213" s="38"/>
      <c r="M213" s="38"/>
      <c r="N213" s="38"/>
      <c r="O213" s="38"/>
      <c r="P213" s="38"/>
      <c r="Q213" s="39">
        <v>22</v>
      </c>
      <c r="R213" s="40">
        <v>22</v>
      </c>
      <c r="S213" s="41">
        <v>0.88</v>
      </c>
      <c r="T213">
        <f t="shared" si="46"/>
        <v>1</v>
      </c>
      <c r="U213" s="1">
        <f t="shared" si="47"/>
        <v>61.6</v>
      </c>
      <c r="V213" s="42">
        <f t="shared" si="42"/>
        <v>30</v>
      </c>
      <c r="W213" s="43">
        <f t="shared" si="45"/>
        <v>91.6</v>
      </c>
    </row>
    <row r="214" spans="2:27" ht="17.25" customHeight="1" x14ac:dyDescent="0.3">
      <c r="B214" s="30"/>
      <c r="C214" s="31"/>
      <c r="D214" s="31"/>
      <c r="E214" s="31"/>
      <c r="F214" s="31"/>
      <c r="G214" s="33"/>
      <c r="H214" s="72"/>
      <c r="I214" s="72"/>
      <c r="J214" s="73">
        <f>SUM(J200:J213)</f>
        <v>6591440</v>
      </c>
      <c r="K214" s="73">
        <f>SUM(K200:K213)</f>
        <v>5114048</v>
      </c>
      <c r="L214" s="80"/>
      <c r="M214" s="80"/>
      <c r="N214" s="38"/>
      <c r="O214" s="38"/>
      <c r="P214" s="38"/>
      <c r="Q214" s="39">
        <v>22</v>
      </c>
      <c r="R214" s="40">
        <v>19</v>
      </c>
      <c r="S214" s="41">
        <v>0.81</v>
      </c>
      <c r="T214">
        <f t="shared" si="46"/>
        <v>0.86363636363636365</v>
      </c>
      <c r="U214" s="1">
        <f t="shared" si="47"/>
        <v>56.7</v>
      </c>
      <c r="V214" s="42">
        <f t="shared" si="42"/>
        <v>25.90909090909091</v>
      </c>
      <c r="W214" s="43">
        <f t="shared" si="45"/>
        <v>82.609090909090909</v>
      </c>
    </row>
    <row r="215" spans="2:27" ht="17.25" customHeight="1" x14ac:dyDescent="0.3">
      <c r="B215" s="7"/>
      <c r="C215" s="8"/>
      <c r="D215" s="9"/>
      <c r="E215" s="9"/>
      <c r="F215" s="10"/>
      <c r="G215" s="10"/>
      <c r="H215" s="8"/>
      <c r="I215" s="11"/>
      <c r="J215" s="12"/>
      <c r="K215" s="41"/>
      <c r="L215" s="41"/>
      <c r="M215" s="41"/>
      <c r="N215" s="38"/>
      <c r="O215" s="38"/>
      <c r="P215" s="38"/>
      <c r="Q215" s="39">
        <v>22</v>
      </c>
      <c r="R215" s="40">
        <v>17</v>
      </c>
      <c r="S215" s="41">
        <v>0.83</v>
      </c>
      <c r="T215">
        <f t="shared" si="46"/>
        <v>0.77272727272727271</v>
      </c>
      <c r="U215" s="1">
        <f t="shared" si="47"/>
        <v>58.099999999999994</v>
      </c>
      <c r="V215" s="42">
        <f t="shared" si="42"/>
        <v>23.18181818181818</v>
      </c>
      <c r="W215" s="43">
        <f t="shared" si="45"/>
        <v>81.281818181818181</v>
      </c>
    </row>
    <row r="216" spans="2:27" ht="17.25" customHeight="1" x14ac:dyDescent="0.3">
      <c r="B216" s="7"/>
      <c r="C216" s="8"/>
      <c r="D216" s="9"/>
      <c r="E216" s="213" t="s">
        <v>70</v>
      </c>
      <c r="F216" s="213"/>
      <c r="G216" s="8"/>
      <c r="H216" s="8"/>
      <c r="I216" s="11"/>
      <c r="J216" s="12"/>
      <c r="N216" s="38"/>
      <c r="O216" s="38"/>
      <c r="P216" s="38"/>
      <c r="Q216" s="39">
        <v>22</v>
      </c>
      <c r="R216" s="40">
        <v>22</v>
      </c>
      <c r="S216" s="41">
        <v>0.94</v>
      </c>
      <c r="T216">
        <f t="shared" si="46"/>
        <v>1</v>
      </c>
      <c r="U216" s="1">
        <f>S216*70</f>
        <v>65.8</v>
      </c>
      <c r="V216" s="42">
        <f t="shared" si="42"/>
        <v>30</v>
      </c>
      <c r="W216" s="43">
        <f t="shared" si="45"/>
        <v>95.8</v>
      </c>
    </row>
    <row r="217" spans="2:27" s="83" customFormat="1" ht="20.25" customHeight="1" x14ac:dyDescent="0.3">
      <c r="B217" s="7"/>
      <c r="C217" s="8"/>
      <c r="D217" s="9"/>
      <c r="E217" s="213"/>
      <c r="F217" s="213"/>
      <c r="G217" s="8"/>
      <c r="H217" s="8"/>
      <c r="I217" s="11"/>
      <c r="J217" s="12"/>
      <c r="K217" s="1"/>
      <c r="L217" s="1"/>
      <c r="M217" s="1"/>
      <c r="N217" s="80"/>
      <c r="O217" s="75"/>
      <c r="P217" s="75"/>
      <c r="Q217" s="81"/>
      <c r="R217" s="82"/>
      <c r="S217" s="41">
        <v>0.57999999999999996</v>
      </c>
      <c r="T217" s="83" t="e">
        <f t="shared" si="46"/>
        <v>#DIV/0!</v>
      </c>
      <c r="U217" s="83">
        <f>S217*70</f>
        <v>40.599999999999994</v>
      </c>
      <c r="V217" s="83" t="e">
        <f>T217*30</f>
        <v>#DIV/0!</v>
      </c>
      <c r="W217" s="83" t="e">
        <f>U217+V217</f>
        <v>#DIV/0!</v>
      </c>
    </row>
    <row r="218" spans="2:27" ht="12" customHeight="1" x14ac:dyDescent="0.3">
      <c r="B218" s="7"/>
      <c r="C218" s="8"/>
      <c r="D218" s="9"/>
      <c r="E218" s="9"/>
      <c r="F218" s="10"/>
      <c r="G218" s="8"/>
      <c r="H218" s="8"/>
      <c r="I218" s="11"/>
      <c r="J218" s="12"/>
      <c r="N218" s="41"/>
      <c r="Q218" s="1"/>
      <c r="R218" s="1"/>
    </row>
    <row r="219" spans="2:27" ht="15.6" x14ac:dyDescent="0.3">
      <c r="B219" s="7"/>
      <c r="C219" s="8"/>
      <c r="D219" s="9"/>
      <c r="E219" s="9"/>
      <c r="F219" s="10"/>
      <c r="G219" s="8"/>
      <c r="H219" s="8"/>
      <c r="I219" s="11"/>
      <c r="J219" s="12"/>
      <c r="Q219" s="1"/>
      <c r="R219" s="1"/>
    </row>
    <row r="220" spans="2:27" ht="15.6" x14ac:dyDescent="0.3">
      <c r="B220" s="7"/>
      <c r="C220" s="8"/>
      <c r="D220" s="9"/>
      <c r="E220" s="9"/>
      <c r="F220" s="10"/>
      <c r="G220" s="8"/>
      <c r="H220" s="8"/>
      <c r="I220" s="11"/>
      <c r="J220" s="12"/>
      <c r="Q220" s="1"/>
      <c r="R220" s="1"/>
      <c r="S220" s="1">
        <f>7/38</f>
        <v>0.18421052631578946</v>
      </c>
      <c r="Y220" s="63"/>
    </row>
    <row r="221" spans="2:27" ht="15.6" x14ac:dyDescent="0.3">
      <c r="B221" s="7"/>
      <c r="C221" s="8"/>
      <c r="D221" s="9"/>
      <c r="E221" s="214" t="s">
        <v>71</v>
      </c>
      <c r="F221" s="214"/>
      <c r="G221" s="8"/>
      <c r="H221" s="8"/>
      <c r="I221" s="11"/>
      <c r="J221" s="12"/>
      <c r="Q221" s="1"/>
      <c r="R221" s="1"/>
    </row>
    <row r="222" spans="2:27" x14ac:dyDescent="0.25">
      <c r="Q222" s="1"/>
      <c r="R222" s="1"/>
    </row>
    <row r="223" spans="2:27" x14ac:dyDescent="0.25">
      <c r="Q223" s="1"/>
      <c r="R223" s="1"/>
    </row>
    <row r="224" spans="2:27" x14ac:dyDescent="0.25">
      <c r="Q224" s="1"/>
      <c r="R224" s="1"/>
    </row>
    <row r="239" spans="2:13" ht="15.6" x14ac:dyDescent="0.3">
      <c r="B239" s="212" t="s">
        <v>0</v>
      </c>
      <c r="C239" s="212"/>
      <c r="D239" s="212"/>
      <c r="E239" s="212"/>
      <c r="F239" s="212"/>
      <c r="G239" s="212"/>
      <c r="H239" s="212"/>
      <c r="I239" s="212"/>
      <c r="J239" s="212"/>
      <c r="K239" s="212"/>
      <c r="L239" s="2"/>
      <c r="M239" s="2"/>
    </row>
    <row r="240" spans="2:13" ht="15.6" x14ac:dyDescent="0.3">
      <c r="B240" s="212" t="s">
        <v>81</v>
      </c>
      <c r="C240" s="212"/>
      <c r="D240" s="212"/>
      <c r="E240" s="212"/>
      <c r="F240" s="212"/>
      <c r="G240" s="212"/>
      <c r="H240" s="212"/>
      <c r="I240" s="212"/>
      <c r="J240" s="212"/>
      <c r="K240" s="212"/>
      <c r="L240" s="2"/>
      <c r="M240" s="2"/>
    </row>
    <row r="241" spans="2:27" ht="15.6" x14ac:dyDescent="0.3">
      <c r="B241" s="7"/>
      <c r="C241" s="8"/>
      <c r="D241" s="8"/>
      <c r="E241" s="8"/>
      <c r="F241" s="8"/>
      <c r="G241" s="8"/>
      <c r="H241" s="9"/>
      <c r="I241" s="9"/>
      <c r="J241" s="10"/>
      <c r="K241" s="8"/>
      <c r="L241" s="8"/>
      <c r="M241" s="8"/>
    </row>
    <row r="242" spans="2:27" ht="93.6" x14ac:dyDescent="0.3">
      <c r="B242" s="14" t="s">
        <v>2</v>
      </c>
      <c r="C242" s="14" t="s">
        <v>3</v>
      </c>
      <c r="D242" s="14" t="s">
        <v>4</v>
      </c>
      <c r="E242" s="15" t="s">
        <v>5</v>
      </c>
      <c r="F242" s="15" t="s">
        <v>6</v>
      </c>
      <c r="G242" s="15" t="s">
        <v>7</v>
      </c>
      <c r="H242" s="15" t="s">
        <v>8</v>
      </c>
      <c r="I242" s="15" t="s">
        <v>9</v>
      </c>
      <c r="J242" s="16" t="s">
        <v>10</v>
      </c>
      <c r="K242" s="15" t="s">
        <v>11</v>
      </c>
      <c r="L242" s="17"/>
      <c r="M242" s="17"/>
      <c r="N242" s="2"/>
      <c r="O242" s="2"/>
      <c r="P242" s="2"/>
      <c r="Q242" s="3"/>
      <c r="R242" s="4"/>
      <c r="S242" s="5"/>
      <c r="T242" s="5"/>
    </row>
    <row r="243" spans="2:27" ht="15.6" x14ac:dyDescent="0.3">
      <c r="B243" s="23" t="s">
        <v>17</v>
      </c>
      <c r="C243" s="23" t="s">
        <v>18</v>
      </c>
      <c r="D243" s="23" t="s">
        <v>19</v>
      </c>
      <c r="E243" s="23" t="s">
        <v>20</v>
      </c>
      <c r="F243" s="23" t="s">
        <v>21</v>
      </c>
      <c r="G243" s="23" t="s">
        <v>22</v>
      </c>
      <c r="H243" s="24" t="s">
        <v>23</v>
      </c>
      <c r="I243" s="24" t="s">
        <v>24</v>
      </c>
      <c r="J243" s="25" t="s">
        <v>25</v>
      </c>
      <c r="K243" s="24" t="s">
        <v>26</v>
      </c>
      <c r="L243" s="26"/>
      <c r="M243" s="26"/>
      <c r="N243" s="2"/>
      <c r="O243" s="6"/>
      <c r="P243" s="6"/>
      <c r="Q243" s="3"/>
      <c r="R243" s="4"/>
      <c r="S243" s="5"/>
      <c r="T243" s="5"/>
    </row>
    <row r="244" spans="2:27" ht="12" customHeight="1" x14ac:dyDescent="0.3">
      <c r="B244" s="30">
        <v>1</v>
      </c>
      <c r="C244" s="31" t="s">
        <v>27</v>
      </c>
      <c r="D244" s="31" t="s">
        <v>28</v>
      </c>
      <c r="E244" s="32">
        <v>0.65</v>
      </c>
      <c r="F244" s="33">
        <v>0.24</v>
      </c>
      <c r="G244" s="33">
        <f>E244+F244</f>
        <v>0.89</v>
      </c>
      <c r="H244" s="34" t="s">
        <v>32</v>
      </c>
      <c r="I244" s="35">
        <v>0.9</v>
      </c>
      <c r="J244" s="36">
        <v>581340</v>
      </c>
      <c r="K244" s="37">
        <f>I244*J244</f>
        <v>523206</v>
      </c>
      <c r="L244" s="38"/>
      <c r="M244" s="38"/>
      <c r="N244" s="8"/>
      <c r="O244" s="8"/>
      <c r="P244" s="8"/>
      <c r="Q244" s="11"/>
    </row>
    <row r="245" spans="2:27" s="13" customFormat="1" ht="95.25" customHeight="1" x14ac:dyDescent="0.3">
      <c r="B245" s="30">
        <v>2</v>
      </c>
      <c r="C245" s="31" t="s">
        <v>30</v>
      </c>
      <c r="D245" s="31" t="s">
        <v>31</v>
      </c>
      <c r="E245" s="32">
        <v>0.6</v>
      </c>
      <c r="F245" s="33">
        <v>0.27</v>
      </c>
      <c r="G245" s="33">
        <f t="shared" ref="G245:G257" si="48">E245+F245</f>
        <v>0.87</v>
      </c>
      <c r="H245" s="34" t="s">
        <v>32</v>
      </c>
      <c r="I245" s="35">
        <v>0.9</v>
      </c>
      <c r="J245" s="36">
        <v>502660</v>
      </c>
      <c r="K245" s="37">
        <f t="shared" ref="K245:K257" si="49">I245*J245</f>
        <v>452394</v>
      </c>
      <c r="L245" s="38"/>
      <c r="M245" s="38"/>
      <c r="N245" s="17"/>
      <c r="O245" s="17"/>
      <c r="P245" s="17"/>
      <c r="Q245" s="94"/>
      <c r="R245" s="18"/>
      <c r="S245" s="19" t="s">
        <v>12</v>
      </c>
      <c r="T245" s="19" t="s">
        <v>13</v>
      </c>
      <c r="U245" s="20" t="s">
        <v>14</v>
      </c>
      <c r="V245" s="21" t="s">
        <v>15</v>
      </c>
      <c r="W245" s="20" t="s">
        <v>16</v>
      </c>
    </row>
    <row r="246" spans="2:27" s="22" customFormat="1" ht="15" customHeight="1" x14ac:dyDescent="0.3">
      <c r="B246" s="30">
        <v>3</v>
      </c>
      <c r="C246" s="31" t="s">
        <v>33</v>
      </c>
      <c r="D246" s="31" t="s">
        <v>34</v>
      </c>
      <c r="E246" s="32">
        <v>0.56999999999999995</v>
      </c>
      <c r="F246" s="33">
        <v>0.27</v>
      </c>
      <c r="G246" s="33">
        <f t="shared" si="48"/>
        <v>0.84</v>
      </c>
      <c r="H246" s="31" t="s">
        <v>32</v>
      </c>
      <c r="I246" s="35">
        <v>0.9</v>
      </c>
      <c r="J246" s="36">
        <v>502660</v>
      </c>
      <c r="K246" s="37">
        <f t="shared" si="49"/>
        <v>452394</v>
      </c>
      <c r="L246" s="38"/>
      <c r="M246" s="38"/>
      <c r="N246" s="26"/>
      <c r="O246" s="26"/>
      <c r="P246" s="26"/>
      <c r="Q246" s="27"/>
      <c r="R246" s="28"/>
      <c r="S246" s="29"/>
      <c r="T246" s="29"/>
    </row>
    <row r="247" spans="2:27" ht="17.25" customHeight="1" x14ac:dyDescent="0.3">
      <c r="B247" s="44">
        <v>4</v>
      </c>
      <c r="C247" s="34" t="s">
        <v>39</v>
      </c>
      <c r="D247" s="34" t="s">
        <v>40</v>
      </c>
      <c r="E247" s="32">
        <v>0.64</v>
      </c>
      <c r="F247" s="46">
        <v>0.27</v>
      </c>
      <c r="G247" s="33">
        <f t="shared" si="48"/>
        <v>0.91</v>
      </c>
      <c r="H247" s="34" t="s">
        <v>82</v>
      </c>
      <c r="I247" s="35">
        <v>1</v>
      </c>
      <c r="J247" s="48">
        <v>502660</v>
      </c>
      <c r="K247" s="37">
        <f t="shared" si="49"/>
        <v>502660</v>
      </c>
      <c r="L247" s="38"/>
      <c r="M247" s="38"/>
      <c r="N247" s="38"/>
      <c r="O247" s="38"/>
      <c r="P247" s="38"/>
      <c r="Q247" s="39">
        <v>20</v>
      </c>
      <c r="R247" s="40">
        <v>16</v>
      </c>
      <c r="S247" s="41">
        <v>0.93</v>
      </c>
      <c r="T247">
        <f>R247/Q247</f>
        <v>0.8</v>
      </c>
      <c r="U247" s="1">
        <f>S247*70</f>
        <v>65.100000000000009</v>
      </c>
      <c r="V247" s="42">
        <f>T247*30</f>
        <v>24</v>
      </c>
      <c r="W247" s="43">
        <f>U247+V247</f>
        <v>89.100000000000009</v>
      </c>
    </row>
    <row r="248" spans="2:27" ht="17.25" customHeight="1" x14ac:dyDescent="0.3">
      <c r="B248" s="55">
        <v>5</v>
      </c>
      <c r="C248" s="56" t="s">
        <v>42</v>
      </c>
      <c r="D248" s="56" t="s">
        <v>43</v>
      </c>
      <c r="E248" s="45">
        <v>0</v>
      </c>
      <c r="F248" s="46">
        <v>0.27</v>
      </c>
      <c r="G248" s="33">
        <f t="shared" si="48"/>
        <v>0.27</v>
      </c>
      <c r="H248" s="34" t="s">
        <v>44</v>
      </c>
      <c r="I248" s="47">
        <v>0.1</v>
      </c>
      <c r="J248" s="48">
        <v>502660</v>
      </c>
      <c r="K248" s="37">
        <f t="shared" si="49"/>
        <v>50266</v>
      </c>
      <c r="L248" s="38"/>
      <c r="M248" s="38"/>
      <c r="N248" s="38"/>
      <c r="O248" s="38"/>
      <c r="P248" s="38"/>
      <c r="Q248" s="39">
        <v>20</v>
      </c>
      <c r="R248" s="40">
        <v>18</v>
      </c>
      <c r="S248" s="41">
        <v>0.86</v>
      </c>
      <c r="T248">
        <f t="shared" ref="T248:T261" si="50">R248/Q248</f>
        <v>0.9</v>
      </c>
      <c r="U248" s="1">
        <f t="shared" ref="U248:U251" si="51">S248*70</f>
        <v>60.199999999999996</v>
      </c>
      <c r="V248" s="42">
        <f t="shared" ref="V248:V260" si="52">T248*30</f>
        <v>27</v>
      </c>
      <c r="W248" s="43">
        <f t="shared" ref="W248" si="53">U248+V248</f>
        <v>87.199999999999989</v>
      </c>
    </row>
    <row r="249" spans="2:27" ht="17.25" customHeight="1" x14ac:dyDescent="0.3">
      <c r="B249" s="30">
        <v>6</v>
      </c>
      <c r="C249" s="31" t="s">
        <v>46</v>
      </c>
      <c r="D249" s="31" t="s">
        <v>47</v>
      </c>
      <c r="E249" s="32">
        <v>0.36</v>
      </c>
      <c r="F249" s="33">
        <v>0.26</v>
      </c>
      <c r="G249" s="33">
        <f t="shared" si="48"/>
        <v>0.62</v>
      </c>
      <c r="H249" s="34" t="s">
        <v>52</v>
      </c>
      <c r="I249" s="35">
        <v>0.4</v>
      </c>
      <c r="J249" s="36">
        <v>502660</v>
      </c>
      <c r="K249" s="37">
        <f t="shared" si="49"/>
        <v>201064</v>
      </c>
      <c r="L249" s="38"/>
      <c r="M249" s="38"/>
      <c r="N249" s="38"/>
      <c r="O249" s="38"/>
      <c r="P249" s="38"/>
      <c r="Q249" s="39">
        <v>20</v>
      </c>
      <c r="R249" s="40">
        <v>18</v>
      </c>
      <c r="S249" s="41">
        <v>0.81</v>
      </c>
      <c r="T249">
        <f>R249/Q249</f>
        <v>0.9</v>
      </c>
      <c r="U249" s="1">
        <f>S249*70</f>
        <v>56.7</v>
      </c>
      <c r="V249" s="42">
        <f t="shared" si="52"/>
        <v>27</v>
      </c>
      <c r="W249" s="43">
        <f>U249+V249</f>
        <v>83.7</v>
      </c>
      <c r="Y249" s="5" t="s">
        <v>36</v>
      </c>
      <c r="Z249" s="49" t="s">
        <v>37</v>
      </c>
      <c r="AA249" s="49" t="s">
        <v>38</v>
      </c>
    </row>
    <row r="250" spans="2:27" s="50" customFormat="1" ht="17.25" customHeight="1" x14ac:dyDescent="0.3">
      <c r="B250" s="30">
        <v>7</v>
      </c>
      <c r="C250" s="31" t="s">
        <v>49</v>
      </c>
      <c r="D250" s="31" t="s">
        <v>50</v>
      </c>
      <c r="E250" s="32">
        <v>0.64</v>
      </c>
      <c r="F250" s="33">
        <v>0.1</v>
      </c>
      <c r="G250" s="33">
        <f t="shared" si="48"/>
        <v>0.74</v>
      </c>
      <c r="H250" s="34" t="s">
        <v>35</v>
      </c>
      <c r="I250" s="35">
        <v>0.7</v>
      </c>
      <c r="J250" s="36">
        <v>437100</v>
      </c>
      <c r="K250" s="37">
        <f t="shared" si="49"/>
        <v>305970</v>
      </c>
      <c r="L250" s="38"/>
      <c r="M250" s="38"/>
      <c r="N250" s="38"/>
      <c r="O250" s="38"/>
      <c r="P250" s="38"/>
      <c r="Q250" s="39">
        <v>20</v>
      </c>
      <c r="R250" s="51">
        <v>18</v>
      </c>
      <c r="S250" s="41">
        <v>0.92</v>
      </c>
      <c r="T250">
        <f>R250/Q250</f>
        <v>0.9</v>
      </c>
      <c r="U250" s="1">
        <f t="shared" si="51"/>
        <v>64.400000000000006</v>
      </c>
      <c r="V250" s="42">
        <f t="shared" si="52"/>
        <v>27</v>
      </c>
      <c r="W250" s="43">
        <f t="shared" ref="W250:W260" si="54">U250+V250</f>
        <v>91.4</v>
      </c>
      <c r="Y250" s="52" t="s">
        <v>41</v>
      </c>
      <c r="Z250" s="50" t="s">
        <v>29</v>
      </c>
      <c r="AA250" s="53">
        <v>1</v>
      </c>
    </row>
    <row r="251" spans="2:27" s="54" customFormat="1" ht="17.25" customHeight="1" x14ac:dyDescent="0.3">
      <c r="B251" s="30">
        <v>8</v>
      </c>
      <c r="C251" s="31" t="s">
        <v>53</v>
      </c>
      <c r="D251" s="31" t="s">
        <v>54</v>
      </c>
      <c r="E251" s="32">
        <v>0.68</v>
      </c>
      <c r="F251" s="33">
        <v>0.27</v>
      </c>
      <c r="G251" s="33">
        <f t="shared" si="48"/>
        <v>0.95000000000000007</v>
      </c>
      <c r="H251" s="34" t="s">
        <v>82</v>
      </c>
      <c r="I251" s="35">
        <v>1</v>
      </c>
      <c r="J251" s="36">
        <v>437100</v>
      </c>
      <c r="K251" s="37">
        <f t="shared" si="49"/>
        <v>437100</v>
      </c>
      <c r="L251" s="38"/>
      <c r="M251" s="38"/>
      <c r="N251" s="38"/>
      <c r="O251" s="38"/>
      <c r="P251" s="38"/>
      <c r="Q251" s="39">
        <v>20</v>
      </c>
      <c r="R251" s="57">
        <v>18</v>
      </c>
      <c r="S251" s="58">
        <v>0</v>
      </c>
      <c r="T251">
        <f t="shared" si="50"/>
        <v>0.9</v>
      </c>
      <c r="U251" s="1">
        <f t="shared" si="51"/>
        <v>0</v>
      </c>
      <c r="V251" s="42">
        <f t="shared" si="52"/>
        <v>27</v>
      </c>
      <c r="W251" s="43">
        <f t="shared" si="54"/>
        <v>27</v>
      </c>
      <c r="Y251" s="59" t="s">
        <v>45</v>
      </c>
      <c r="Z251" s="54" t="s">
        <v>32</v>
      </c>
      <c r="AA251" s="60">
        <v>0.9</v>
      </c>
    </row>
    <row r="252" spans="2:27" ht="17.25" customHeight="1" x14ac:dyDescent="0.3">
      <c r="B252" s="30">
        <v>9</v>
      </c>
      <c r="C252" s="31" t="s">
        <v>58</v>
      </c>
      <c r="D252" s="31" t="s">
        <v>59</v>
      </c>
      <c r="E252" s="32">
        <v>0.61</v>
      </c>
      <c r="F252" s="33">
        <v>7.0000000000000007E-2</v>
      </c>
      <c r="G252" s="33">
        <f t="shared" si="48"/>
        <v>0.67999999999999994</v>
      </c>
      <c r="H252" s="34" t="s">
        <v>52</v>
      </c>
      <c r="I252" s="35">
        <v>0.4</v>
      </c>
      <c r="J252" s="36">
        <v>437100</v>
      </c>
      <c r="K252" s="37">
        <f t="shared" si="49"/>
        <v>174840</v>
      </c>
      <c r="L252" s="38"/>
      <c r="M252" s="38"/>
      <c r="N252" s="38"/>
      <c r="O252" s="38"/>
      <c r="P252" s="38"/>
      <c r="Q252" s="39">
        <v>20</v>
      </c>
      <c r="R252" s="40">
        <v>17</v>
      </c>
      <c r="S252" s="61">
        <v>0.51</v>
      </c>
      <c r="T252">
        <f t="shared" si="50"/>
        <v>0.85</v>
      </c>
      <c r="U252" s="1">
        <f>S252*70</f>
        <v>35.700000000000003</v>
      </c>
      <c r="V252" s="42">
        <f t="shared" si="52"/>
        <v>25.5</v>
      </c>
      <c r="W252" s="43">
        <f t="shared" si="54"/>
        <v>61.2</v>
      </c>
      <c r="Y252" s="62" t="s">
        <v>48</v>
      </c>
      <c r="Z252" s="1" t="s">
        <v>35</v>
      </c>
      <c r="AA252" s="63">
        <v>0.7</v>
      </c>
    </row>
    <row r="253" spans="2:27" ht="17.25" customHeight="1" x14ac:dyDescent="0.3">
      <c r="B253" s="30">
        <v>10</v>
      </c>
      <c r="C253" s="31" t="s">
        <v>60</v>
      </c>
      <c r="D253" s="31" t="s">
        <v>61</v>
      </c>
      <c r="E253" s="32">
        <v>0.67</v>
      </c>
      <c r="F253" s="33">
        <v>0.27</v>
      </c>
      <c r="G253" s="33">
        <f t="shared" si="48"/>
        <v>0.94000000000000006</v>
      </c>
      <c r="H253" s="34" t="s">
        <v>82</v>
      </c>
      <c r="I253" s="35">
        <v>1</v>
      </c>
      <c r="J253" s="36">
        <v>437100</v>
      </c>
      <c r="K253" s="37">
        <f t="shared" si="49"/>
        <v>437100</v>
      </c>
      <c r="L253" s="38"/>
      <c r="M253" s="38"/>
      <c r="N253" s="38"/>
      <c r="O253" s="38"/>
      <c r="P253" s="38"/>
      <c r="Q253" s="39">
        <v>20</v>
      </c>
      <c r="R253" s="40">
        <v>7</v>
      </c>
      <c r="S253" s="41">
        <v>0.92</v>
      </c>
      <c r="T253">
        <f t="shared" si="50"/>
        <v>0.35</v>
      </c>
      <c r="U253" s="1">
        <f t="shared" ref="U253:U259" si="55">S253*70</f>
        <v>64.400000000000006</v>
      </c>
      <c r="V253" s="42">
        <f t="shared" si="52"/>
        <v>10.5</v>
      </c>
      <c r="W253" s="43">
        <f t="shared" si="54"/>
        <v>74.900000000000006</v>
      </c>
      <c r="Y253" s="62" t="s">
        <v>51</v>
      </c>
      <c r="Z253" s="1" t="s">
        <v>52</v>
      </c>
      <c r="AA253" s="63">
        <v>0.4</v>
      </c>
    </row>
    <row r="254" spans="2:27" ht="17.25" customHeight="1" x14ac:dyDescent="0.3">
      <c r="B254" s="30">
        <v>11</v>
      </c>
      <c r="C254" s="31" t="s">
        <v>62</v>
      </c>
      <c r="D254" s="31" t="s">
        <v>63</v>
      </c>
      <c r="E254" s="32">
        <v>0.56999999999999995</v>
      </c>
      <c r="F254" s="33">
        <v>0.27</v>
      </c>
      <c r="G254" s="33">
        <f t="shared" si="48"/>
        <v>0.84</v>
      </c>
      <c r="H254" s="87" t="s">
        <v>32</v>
      </c>
      <c r="I254" s="35">
        <v>0.9</v>
      </c>
      <c r="J254" s="36">
        <v>437100</v>
      </c>
      <c r="K254" s="37">
        <f t="shared" si="49"/>
        <v>393390</v>
      </c>
      <c r="L254" s="38"/>
      <c r="M254" s="38"/>
      <c r="N254" s="38"/>
      <c r="O254" s="38"/>
      <c r="P254" s="38"/>
      <c r="Q254" s="39">
        <v>20</v>
      </c>
      <c r="R254" s="40">
        <v>18</v>
      </c>
      <c r="S254" s="41">
        <v>0.97</v>
      </c>
      <c r="T254">
        <f t="shared" si="50"/>
        <v>0.9</v>
      </c>
      <c r="U254" s="1">
        <f t="shared" si="55"/>
        <v>67.899999999999991</v>
      </c>
      <c r="V254" s="42">
        <f t="shared" si="52"/>
        <v>27</v>
      </c>
      <c r="W254" s="43">
        <f t="shared" si="54"/>
        <v>94.899999999999991</v>
      </c>
      <c r="Y254" s="62" t="s">
        <v>55</v>
      </c>
      <c r="Z254" s="1" t="s">
        <v>56</v>
      </c>
      <c r="AA254" s="63">
        <v>0.1</v>
      </c>
    </row>
    <row r="255" spans="2:27" ht="17.25" customHeight="1" x14ac:dyDescent="0.3">
      <c r="B255" s="88">
        <v>12</v>
      </c>
      <c r="C255" s="89" t="s">
        <v>64</v>
      </c>
      <c r="D255" s="89" t="s">
        <v>65</v>
      </c>
      <c r="E255" s="90">
        <v>0.6</v>
      </c>
      <c r="F255" s="91">
        <v>0.22</v>
      </c>
      <c r="G255" s="91">
        <f t="shared" si="48"/>
        <v>0.82</v>
      </c>
      <c r="H255" s="65" t="s">
        <v>32</v>
      </c>
      <c r="I255" s="92">
        <v>0.9</v>
      </c>
      <c r="J255" s="93">
        <v>437100</v>
      </c>
      <c r="K255" s="96">
        <f t="shared" si="49"/>
        <v>393390</v>
      </c>
      <c r="L255" s="38"/>
      <c r="M255" s="38"/>
      <c r="N255" s="38"/>
      <c r="O255" s="38"/>
      <c r="P255" s="38"/>
      <c r="Q255" s="39">
        <v>20</v>
      </c>
      <c r="R255" s="40">
        <v>5</v>
      </c>
      <c r="S255" s="41">
        <v>0.87</v>
      </c>
      <c r="T255">
        <f t="shared" si="50"/>
        <v>0.25</v>
      </c>
      <c r="U255" s="1">
        <f t="shared" si="55"/>
        <v>60.9</v>
      </c>
      <c r="V255" s="42">
        <f t="shared" si="52"/>
        <v>7.5</v>
      </c>
      <c r="W255" s="43">
        <f t="shared" si="54"/>
        <v>68.400000000000006</v>
      </c>
      <c r="Y255" s="12"/>
    </row>
    <row r="256" spans="2:27" ht="17.25" customHeight="1" x14ac:dyDescent="0.3">
      <c r="B256" s="30">
        <v>13</v>
      </c>
      <c r="C256" s="31" t="s">
        <v>66</v>
      </c>
      <c r="D256" s="31" t="s">
        <v>67</v>
      </c>
      <c r="E256" s="32">
        <v>0.61</v>
      </c>
      <c r="F256" s="33">
        <v>0.18</v>
      </c>
      <c r="G256" s="33">
        <f t="shared" si="48"/>
        <v>0.79</v>
      </c>
      <c r="H256" s="87" t="s">
        <v>35</v>
      </c>
      <c r="I256" s="35">
        <v>0.7</v>
      </c>
      <c r="J256" s="36">
        <v>437100</v>
      </c>
      <c r="K256" s="37">
        <f t="shared" si="49"/>
        <v>305970</v>
      </c>
      <c r="L256" s="38"/>
      <c r="M256" s="38"/>
      <c r="N256" s="38"/>
      <c r="O256" s="38"/>
      <c r="P256" s="38"/>
      <c r="Q256" s="39">
        <v>20</v>
      </c>
      <c r="R256" s="40">
        <v>18</v>
      </c>
      <c r="S256" s="41">
        <v>0.96</v>
      </c>
      <c r="T256">
        <f t="shared" si="50"/>
        <v>0.9</v>
      </c>
      <c r="U256" s="1">
        <f t="shared" si="55"/>
        <v>67.2</v>
      </c>
      <c r="V256" s="42">
        <f t="shared" si="52"/>
        <v>27</v>
      </c>
      <c r="W256" s="43">
        <f t="shared" si="54"/>
        <v>94.2</v>
      </c>
    </row>
    <row r="257" spans="2:29" ht="17.25" customHeight="1" x14ac:dyDescent="0.3">
      <c r="B257" s="30">
        <v>14</v>
      </c>
      <c r="C257" s="31" t="s">
        <v>68</v>
      </c>
      <c r="D257" s="31" t="s">
        <v>69</v>
      </c>
      <c r="E257" s="32">
        <v>0.68</v>
      </c>
      <c r="F257" s="33">
        <v>0.27</v>
      </c>
      <c r="G257" s="33">
        <f t="shared" si="48"/>
        <v>0.95000000000000007</v>
      </c>
      <c r="H257" s="34" t="s">
        <v>82</v>
      </c>
      <c r="I257" s="35">
        <v>1</v>
      </c>
      <c r="J257" s="36">
        <v>437100</v>
      </c>
      <c r="K257" s="37">
        <f t="shared" si="49"/>
        <v>437100</v>
      </c>
      <c r="L257" s="38"/>
      <c r="M257" s="38"/>
      <c r="N257" s="38"/>
      <c r="O257" s="38"/>
      <c r="P257" s="38"/>
      <c r="Q257" s="39">
        <v>20</v>
      </c>
      <c r="R257" s="40">
        <v>18</v>
      </c>
      <c r="S257" s="41">
        <v>0.81</v>
      </c>
      <c r="T257">
        <f t="shared" si="50"/>
        <v>0.9</v>
      </c>
      <c r="U257" s="1">
        <f t="shared" si="55"/>
        <v>56.7</v>
      </c>
      <c r="V257" s="42">
        <f t="shared" si="52"/>
        <v>27</v>
      </c>
      <c r="W257" s="43">
        <f t="shared" si="54"/>
        <v>83.7</v>
      </c>
    </row>
    <row r="258" spans="2:29" ht="17.25" customHeight="1" x14ac:dyDescent="0.3">
      <c r="B258" s="30"/>
      <c r="C258" s="31"/>
      <c r="D258" s="31"/>
      <c r="E258" s="31"/>
      <c r="F258" s="31"/>
      <c r="G258" s="33"/>
      <c r="H258" s="72"/>
      <c r="I258" s="72"/>
      <c r="J258" s="73">
        <f>SUM(J244:J257)</f>
        <v>6591440</v>
      </c>
      <c r="K258" s="73">
        <f>SUM(K244:K257)</f>
        <v>5066844</v>
      </c>
      <c r="L258" s="80"/>
      <c r="M258" s="80"/>
      <c r="N258" s="38"/>
      <c r="O258" s="38"/>
      <c r="P258" s="38"/>
      <c r="Q258" s="39">
        <v>20</v>
      </c>
      <c r="R258" s="40">
        <v>15</v>
      </c>
      <c r="S258" s="41">
        <v>0.86</v>
      </c>
      <c r="T258">
        <f t="shared" si="50"/>
        <v>0.75</v>
      </c>
      <c r="U258" s="1">
        <f t="shared" si="55"/>
        <v>60.199999999999996</v>
      </c>
      <c r="V258" s="42">
        <f t="shared" si="52"/>
        <v>22.5</v>
      </c>
      <c r="W258" s="43">
        <f t="shared" si="54"/>
        <v>82.699999999999989</v>
      </c>
    </row>
    <row r="259" spans="2:29" ht="17.25" customHeight="1" x14ac:dyDescent="0.3">
      <c r="B259" s="7"/>
      <c r="C259" s="8"/>
      <c r="D259" s="8"/>
      <c r="E259" s="97"/>
      <c r="F259" s="97"/>
      <c r="G259" s="97"/>
      <c r="H259" s="9"/>
      <c r="I259" s="9"/>
      <c r="J259" s="10"/>
      <c r="K259" s="10"/>
      <c r="L259" s="10"/>
      <c r="M259" s="10"/>
      <c r="N259" s="38"/>
      <c r="O259" s="38"/>
      <c r="P259" s="38"/>
      <c r="Q259" s="39">
        <v>20</v>
      </c>
      <c r="R259" s="40">
        <v>12</v>
      </c>
      <c r="S259" s="41">
        <f>35/40</f>
        <v>0.875</v>
      </c>
      <c r="T259">
        <f t="shared" si="50"/>
        <v>0.6</v>
      </c>
      <c r="U259" s="1">
        <f t="shared" si="55"/>
        <v>61.25</v>
      </c>
      <c r="V259" s="42">
        <f t="shared" si="52"/>
        <v>18</v>
      </c>
      <c r="W259" s="43">
        <f t="shared" si="54"/>
        <v>79.25</v>
      </c>
    </row>
    <row r="260" spans="2:29" ht="17.25" customHeight="1" x14ac:dyDescent="0.3">
      <c r="B260" s="7"/>
      <c r="C260" s="8"/>
      <c r="D260" s="8"/>
      <c r="E260" s="97"/>
      <c r="F260" s="97"/>
      <c r="G260" s="97"/>
      <c r="H260" s="9"/>
      <c r="I260" s="213" t="s">
        <v>70</v>
      </c>
      <c r="J260" s="213"/>
      <c r="K260" s="8"/>
      <c r="L260" s="8"/>
      <c r="M260" s="8"/>
      <c r="N260" s="38"/>
      <c r="O260" s="38"/>
      <c r="P260" s="38"/>
      <c r="Q260" s="39">
        <v>20</v>
      </c>
      <c r="R260" s="40">
        <v>18</v>
      </c>
      <c r="S260" s="41">
        <v>0.97</v>
      </c>
      <c r="T260">
        <f t="shared" si="50"/>
        <v>0.9</v>
      </c>
      <c r="U260" s="1">
        <f>S260*70</f>
        <v>67.899999999999991</v>
      </c>
      <c r="V260" s="42">
        <f t="shared" si="52"/>
        <v>27</v>
      </c>
      <c r="W260" s="43">
        <f t="shared" si="54"/>
        <v>94.899999999999991</v>
      </c>
    </row>
    <row r="261" spans="2:29" s="83" customFormat="1" ht="20.25" customHeight="1" x14ac:dyDescent="0.3">
      <c r="B261" s="7"/>
      <c r="C261" s="8"/>
      <c r="D261" s="8"/>
      <c r="E261" s="97"/>
      <c r="F261" s="97"/>
      <c r="G261" s="97"/>
      <c r="H261" s="9"/>
      <c r="I261" s="213"/>
      <c r="J261" s="213"/>
      <c r="K261" s="8"/>
      <c r="L261" s="8"/>
      <c r="M261" s="8"/>
      <c r="N261" s="80"/>
      <c r="O261" s="75" t="s">
        <v>73</v>
      </c>
      <c r="P261" s="75"/>
      <c r="Q261" s="81">
        <v>20</v>
      </c>
      <c r="R261" s="82">
        <v>16</v>
      </c>
      <c r="S261" s="41">
        <v>0.79</v>
      </c>
      <c r="T261" s="83">
        <f t="shared" si="50"/>
        <v>0.8</v>
      </c>
      <c r="U261" s="83">
        <f>S261*70</f>
        <v>55.300000000000004</v>
      </c>
      <c r="V261" s="83">
        <f>T261*30</f>
        <v>24</v>
      </c>
      <c r="W261" s="83">
        <f>U261+V261</f>
        <v>79.300000000000011</v>
      </c>
    </row>
    <row r="262" spans="2:29" ht="12" customHeight="1" x14ac:dyDescent="0.3">
      <c r="B262" s="7"/>
      <c r="C262" s="8"/>
      <c r="D262" s="8"/>
      <c r="E262" s="98"/>
      <c r="F262" s="99"/>
      <c r="G262" s="100"/>
      <c r="H262" s="9"/>
      <c r="I262" s="9"/>
      <c r="J262" s="10"/>
      <c r="K262" s="8"/>
      <c r="L262" s="8"/>
      <c r="M262" s="8"/>
      <c r="N262" s="10"/>
      <c r="O262" s="8"/>
      <c r="P262" s="8"/>
      <c r="Q262" s="11"/>
      <c r="S262" s="41"/>
    </row>
    <row r="263" spans="2:29" ht="15.6" x14ac:dyDescent="0.3">
      <c r="B263" s="7"/>
      <c r="C263" s="8"/>
      <c r="D263" s="8"/>
      <c r="E263" s="98"/>
      <c r="F263" s="99"/>
      <c r="G263" s="100"/>
      <c r="H263" s="9"/>
      <c r="I263" s="9"/>
      <c r="J263" s="10"/>
      <c r="K263" s="8"/>
      <c r="L263" s="8"/>
      <c r="M263" s="8"/>
      <c r="N263" s="8"/>
      <c r="O263" s="8"/>
      <c r="P263" s="8"/>
      <c r="Q263" s="11"/>
    </row>
    <row r="264" spans="2:29" ht="15.6" x14ac:dyDescent="0.3">
      <c r="B264" s="7"/>
      <c r="C264" s="8"/>
      <c r="D264" s="8"/>
      <c r="E264" s="77"/>
      <c r="F264" s="99"/>
      <c r="G264" s="8"/>
      <c r="H264" s="9"/>
      <c r="I264" s="9"/>
      <c r="J264" s="10"/>
      <c r="K264" s="8"/>
      <c r="L264" s="8"/>
      <c r="M264" s="8"/>
      <c r="N264" s="8"/>
      <c r="O264" s="8"/>
      <c r="P264" s="8"/>
      <c r="Q264" s="11"/>
      <c r="AC264" s="63"/>
    </row>
    <row r="265" spans="2:29" ht="15.6" x14ac:dyDescent="0.3">
      <c r="B265" s="7"/>
      <c r="C265" s="8"/>
      <c r="D265" s="8"/>
      <c r="E265" s="98"/>
      <c r="F265" s="99"/>
      <c r="G265" s="8"/>
      <c r="H265" s="9"/>
      <c r="I265" s="214" t="s">
        <v>71</v>
      </c>
      <c r="J265" s="214"/>
      <c r="K265" s="8"/>
      <c r="L265" s="8"/>
      <c r="M265" s="8"/>
      <c r="N265" s="8"/>
      <c r="O265" s="8"/>
      <c r="P265" s="8"/>
      <c r="Q265" s="11"/>
    </row>
    <row r="266" spans="2:29" ht="15.6" x14ac:dyDescent="0.3">
      <c r="N266" s="8"/>
      <c r="O266" s="8"/>
      <c r="P266" s="8"/>
      <c r="Q266" s="11"/>
    </row>
    <row r="267" spans="2:29" ht="15.6" x14ac:dyDescent="0.3">
      <c r="N267" s="8"/>
      <c r="O267" s="8"/>
      <c r="P267" s="8"/>
      <c r="Q267" s="11"/>
    </row>
    <row r="268" spans="2:29" ht="15.6" x14ac:dyDescent="0.3">
      <c r="N268" s="8"/>
      <c r="O268" s="8"/>
      <c r="P268" s="8"/>
      <c r="Q268" s="11"/>
    </row>
    <row r="271" spans="2:29" ht="15.6" x14ac:dyDescent="0.3">
      <c r="B271" s="212" t="s">
        <v>0</v>
      </c>
      <c r="C271" s="212"/>
      <c r="D271" s="212"/>
      <c r="E271" s="212"/>
      <c r="F271" s="212"/>
      <c r="G271" s="212"/>
      <c r="H271" s="212"/>
      <c r="I271" s="212"/>
      <c r="J271" s="212"/>
      <c r="K271" s="212"/>
      <c r="L271" s="2"/>
      <c r="M271" s="2"/>
    </row>
    <row r="272" spans="2:29" ht="15.6" x14ac:dyDescent="0.3">
      <c r="B272" s="212" t="s">
        <v>83</v>
      </c>
      <c r="C272" s="212"/>
      <c r="D272" s="212"/>
      <c r="E272" s="212"/>
      <c r="F272" s="212"/>
      <c r="G272" s="212"/>
      <c r="H272" s="212"/>
      <c r="I272" s="212"/>
      <c r="J272" s="212"/>
      <c r="K272" s="212"/>
      <c r="L272" s="2"/>
      <c r="M272" s="2"/>
    </row>
    <row r="273" spans="2:27" ht="15.6" x14ac:dyDescent="0.3">
      <c r="B273" s="7"/>
      <c r="C273" s="8"/>
      <c r="D273" s="8"/>
      <c r="E273" s="8"/>
      <c r="F273" s="8"/>
      <c r="G273" s="8"/>
      <c r="H273" s="9"/>
      <c r="I273" s="9"/>
      <c r="J273" s="10"/>
      <c r="K273" s="8"/>
      <c r="L273" s="8"/>
      <c r="M273" s="8"/>
      <c r="W273" s="1" t="s">
        <v>84</v>
      </c>
    </row>
    <row r="274" spans="2:27" ht="93.6" x14ac:dyDescent="0.3">
      <c r="B274" s="14" t="s">
        <v>2</v>
      </c>
      <c r="C274" s="14" t="s">
        <v>3</v>
      </c>
      <c r="D274" s="14" t="s">
        <v>4</v>
      </c>
      <c r="E274" s="15" t="s">
        <v>5</v>
      </c>
      <c r="F274" s="15" t="s">
        <v>6</v>
      </c>
      <c r="G274" s="15" t="s">
        <v>7</v>
      </c>
      <c r="H274" s="15" t="s">
        <v>8</v>
      </c>
      <c r="I274" s="15" t="s">
        <v>9</v>
      </c>
      <c r="J274" s="16" t="s">
        <v>10</v>
      </c>
      <c r="K274" s="15" t="s">
        <v>11</v>
      </c>
      <c r="L274" s="17"/>
      <c r="M274" s="17"/>
      <c r="N274" s="2"/>
      <c r="O274" s="2"/>
      <c r="P274" s="2"/>
      <c r="Q274" s="3"/>
      <c r="R274" s="4"/>
      <c r="S274" s="5"/>
      <c r="T274" s="5"/>
    </row>
    <row r="275" spans="2:27" ht="15.6" x14ac:dyDescent="0.3">
      <c r="B275" s="23" t="s">
        <v>17</v>
      </c>
      <c r="C275" s="23" t="s">
        <v>18</v>
      </c>
      <c r="D275" s="23" t="s">
        <v>19</v>
      </c>
      <c r="E275" s="23" t="s">
        <v>20</v>
      </c>
      <c r="F275" s="23" t="s">
        <v>21</v>
      </c>
      <c r="G275" s="23" t="s">
        <v>22</v>
      </c>
      <c r="H275" s="24" t="s">
        <v>23</v>
      </c>
      <c r="I275" s="24" t="s">
        <v>24</v>
      </c>
      <c r="J275" s="25" t="s">
        <v>25</v>
      </c>
      <c r="K275" s="24" t="s">
        <v>26</v>
      </c>
      <c r="L275" s="26"/>
      <c r="M275" s="26"/>
      <c r="N275" s="2"/>
      <c r="O275" s="6"/>
      <c r="P275" s="6"/>
      <c r="Q275" s="3"/>
      <c r="R275" s="4"/>
      <c r="S275" s="5"/>
      <c r="T275" s="5"/>
    </row>
    <row r="276" spans="2:27" ht="12" customHeight="1" x14ac:dyDescent="0.3">
      <c r="B276" s="30">
        <v>1</v>
      </c>
      <c r="C276" s="31" t="s">
        <v>27</v>
      </c>
      <c r="D276" s="31" t="s">
        <v>28</v>
      </c>
      <c r="E276" s="32">
        <v>0.68</v>
      </c>
      <c r="F276" s="33">
        <v>0.27</v>
      </c>
      <c r="G276" s="33">
        <f>E276+F276</f>
        <v>0.95000000000000007</v>
      </c>
      <c r="H276" s="34" t="s">
        <v>82</v>
      </c>
      <c r="I276" s="35">
        <v>1</v>
      </c>
      <c r="J276" s="36">
        <v>581340</v>
      </c>
      <c r="K276" s="37">
        <f t="shared" ref="K276:K289" si="56">I276*J276</f>
        <v>581340</v>
      </c>
      <c r="L276" s="38"/>
      <c r="M276" s="38"/>
      <c r="N276" s="8"/>
      <c r="O276" s="8"/>
      <c r="P276" s="8"/>
      <c r="Q276" s="101" t="s">
        <v>85</v>
      </c>
    </row>
    <row r="277" spans="2:27" s="13" customFormat="1" ht="95.25" customHeight="1" x14ac:dyDescent="0.3">
      <c r="B277" s="30">
        <v>2</v>
      </c>
      <c r="C277" s="31" t="s">
        <v>30</v>
      </c>
      <c r="D277" s="31" t="s">
        <v>31</v>
      </c>
      <c r="E277" s="32">
        <v>0.61</v>
      </c>
      <c r="F277" s="33">
        <v>0.2</v>
      </c>
      <c r="G277" s="33">
        <f t="shared" ref="G277:G289" si="57">E277+F277</f>
        <v>0.81</v>
      </c>
      <c r="H277" s="34" t="s">
        <v>32</v>
      </c>
      <c r="I277" s="35">
        <v>0.9</v>
      </c>
      <c r="J277" s="36">
        <v>502660</v>
      </c>
      <c r="K277" s="37">
        <f t="shared" si="56"/>
        <v>452394</v>
      </c>
      <c r="L277" s="38"/>
      <c r="M277" s="38"/>
      <c r="N277" s="17"/>
      <c r="O277" s="17"/>
      <c r="P277" s="17"/>
      <c r="Q277" s="94"/>
      <c r="R277" s="18"/>
      <c r="S277" s="19" t="s">
        <v>12</v>
      </c>
      <c r="T277" s="19" t="s">
        <v>13</v>
      </c>
      <c r="U277" s="20" t="s">
        <v>14</v>
      </c>
      <c r="V277" s="21" t="s">
        <v>15</v>
      </c>
      <c r="W277" s="20" t="s">
        <v>16</v>
      </c>
    </row>
    <row r="278" spans="2:27" s="22" customFormat="1" ht="15" customHeight="1" x14ac:dyDescent="0.3">
      <c r="B278" s="30">
        <v>3</v>
      </c>
      <c r="C278" s="31" t="s">
        <v>33</v>
      </c>
      <c r="D278" s="31" t="s">
        <v>34</v>
      </c>
      <c r="E278" s="32">
        <v>0.64</v>
      </c>
      <c r="F278" s="33">
        <v>0.3</v>
      </c>
      <c r="G278" s="33">
        <f t="shared" si="57"/>
        <v>0.94</v>
      </c>
      <c r="H278" s="34" t="s">
        <v>82</v>
      </c>
      <c r="I278" s="35">
        <v>1</v>
      </c>
      <c r="J278" s="36">
        <v>502660</v>
      </c>
      <c r="K278" s="37">
        <v>502160</v>
      </c>
      <c r="L278" s="38"/>
      <c r="M278" s="38"/>
      <c r="N278" s="26"/>
      <c r="O278" s="26"/>
      <c r="P278" s="26"/>
      <c r="Q278" s="27"/>
      <c r="R278" s="28"/>
      <c r="S278" s="29"/>
      <c r="T278" s="29"/>
    </row>
    <row r="279" spans="2:27" ht="17.25" customHeight="1" x14ac:dyDescent="0.3">
      <c r="B279" s="30">
        <v>4</v>
      </c>
      <c r="C279" s="34" t="s">
        <v>39</v>
      </c>
      <c r="D279" s="34" t="s">
        <v>40</v>
      </c>
      <c r="E279" s="32">
        <v>0.66</v>
      </c>
      <c r="F279" s="46">
        <v>0.2</v>
      </c>
      <c r="G279" s="33">
        <f t="shared" si="57"/>
        <v>0.8600000000000001</v>
      </c>
      <c r="H279" s="34" t="s">
        <v>32</v>
      </c>
      <c r="I279" s="35">
        <v>0.9</v>
      </c>
      <c r="J279" s="48">
        <v>502660</v>
      </c>
      <c r="K279" s="37">
        <f t="shared" si="56"/>
        <v>452394</v>
      </c>
      <c r="L279" s="38"/>
      <c r="M279" s="38"/>
      <c r="N279" s="38"/>
      <c r="O279" s="38"/>
      <c r="P279" s="38"/>
      <c r="Q279" s="39">
        <v>18</v>
      </c>
      <c r="R279" s="40">
        <v>16</v>
      </c>
      <c r="S279" s="41">
        <v>0.97499999999999998</v>
      </c>
      <c r="T279">
        <f>R279/Q279</f>
        <v>0.88888888888888884</v>
      </c>
      <c r="U279" s="1">
        <f>S279*70</f>
        <v>68.25</v>
      </c>
      <c r="V279" s="42">
        <f>T279*30</f>
        <v>26.666666666666664</v>
      </c>
      <c r="W279" s="43">
        <f>U279+V279</f>
        <v>94.916666666666657</v>
      </c>
    </row>
    <row r="280" spans="2:27" ht="17.25" customHeight="1" x14ac:dyDescent="0.3">
      <c r="B280" s="30">
        <v>5</v>
      </c>
      <c r="C280" s="56" t="s">
        <v>42</v>
      </c>
      <c r="D280" s="56" t="s">
        <v>43</v>
      </c>
      <c r="E280" s="45">
        <v>0</v>
      </c>
      <c r="F280" s="46">
        <v>0.28000000000000003</v>
      </c>
      <c r="G280" s="33">
        <f t="shared" si="57"/>
        <v>0.28000000000000003</v>
      </c>
      <c r="H280" s="34" t="s">
        <v>44</v>
      </c>
      <c r="I280" s="47">
        <v>0.1</v>
      </c>
      <c r="J280" s="48">
        <v>502660</v>
      </c>
      <c r="K280" s="37">
        <f t="shared" si="56"/>
        <v>50266</v>
      </c>
      <c r="L280" s="38"/>
      <c r="M280" s="38"/>
      <c r="N280" s="38"/>
      <c r="O280" s="38"/>
      <c r="P280" s="38"/>
      <c r="Q280" s="39">
        <v>18</v>
      </c>
      <c r="R280" s="40">
        <v>12</v>
      </c>
      <c r="S280" s="41">
        <v>0.87</v>
      </c>
      <c r="T280">
        <f t="shared" ref="T280:T292" si="58">R280/Q280</f>
        <v>0.66666666666666663</v>
      </c>
      <c r="U280" s="1">
        <f t="shared" ref="U280:U283" si="59">S280*70</f>
        <v>60.9</v>
      </c>
      <c r="V280" s="42">
        <f t="shared" ref="V280:V292" si="60">T280*30</f>
        <v>20</v>
      </c>
      <c r="W280" s="43">
        <f t="shared" ref="W280" si="61">U280+V280</f>
        <v>80.900000000000006</v>
      </c>
    </row>
    <row r="281" spans="2:27" ht="17.25" customHeight="1" x14ac:dyDescent="0.3">
      <c r="B281" s="30">
        <v>6</v>
      </c>
      <c r="C281" s="31" t="s">
        <v>46</v>
      </c>
      <c r="D281" s="31" t="s">
        <v>47</v>
      </c>
      <c r="E281" s="32">
        <v>0.48</v>
      </c>
      <c r="F281" s="33">
        <v>0.25</v>
      </c>
      <c r="G281" s="33">
        <f t="shared" si="57"/>
        <v>0.73</v>
      </c>
      <c r="H281" s="87" t="s">
        <v>35</v>
      </c>
      <c r="I281" s="35">
        <v>0.7</v>
      </c>
      <c r="J281" s="36">
        <v>502660</v>
      </c>
      <c r="K281" s="37">
        <f t="shared" si="56"/>
        <v>351862</v>
      </c>
      <c r="L281" s="38"/>
      <c r="M281" s="38"/>
      <c r="N281" s="38"/>
      <c r="O281" s="38"/>
      <c r="P281" s="38"/>
      <c r="Q281" s="39">
        <v>18</v>
      </c>
      <c r="R281" s="40">
        <v>18</v>
      </c>
      <c r="S281" s="41">
        <v>0.92</v>
      </c>
      <c r="T281">
        <f t="shared" si="58"/>
        <v>1</v>
      </c>
      <c r="U281" s="1">
        <f t="shared" si="59"/>
        <v>64.400000000000006</v>
      </c>
      <c r="V281" s="42">
        <f t="shared" si="60"/>
        <v>30</v>
      </c>
      <c r="W281" s="43">
        <f>U281+V281</f>
        <v>94.4</v>
      </c>
      <c r="Y281" s="102" t="s">
        <v>36</v>
      </c>
      <c r="Z281" s="103" t="s">
        <v>37</v>
      </c>
      <c r="AA281" s="103" t="s">
        <v>38</v>
      </c>
    </row>
    <row r="282" spans="2:27" s="50" customFormat="1" ht="17.25" customHeight="1" x14ac:dyDescent="0.3">
      <c r="B282" s="30">
        <v>7</v>
      </c>
      <c r="C282" s="31" t="s">
        <v>49</v>
      </c>
      <c r="D282" s="31" t="s">
        <v>50</v>
      </c>
      <c r="E282" s="32">
        <v>0.63</v>
      </c>
      <c r="F282" s="33">
        <v>0.17</v>
      </c>
      <c r="G282" s="33">
        <f t="shared" si="57"/>
        <v>0.8</v>
      </c>
      <c r="H282" s="34" t="s">
        <v>35</v>
      </c>
      <c r="I282" s="35">
        <v>0.7</v>
      </c>
      <c r="J282" s="36">
        <v>437100</v>
      </c>
      <c r="K282" s="37">
        <f t="shared" si="56"/>
        <v>305970</v>
      </c>
      <c r="L282" s="38"/>
      <c r="M282" s="38"/>
      <c r="N282" s="38"/>
      <c r="O282" s="38"/>
      <c r="P282" s="38"/>
      <c r="Q282" s="39">
        <v>18</v>
      </c>
      <c r="R282" s="51">
        <v>12</v>
      </c>
      <c r="S282" s="70">
        <v>0.94</v>
      </c>
      <c r="T282">
        <f t="shared" si="58"/>
        <v>0.66666666666666663</v>
      </c>
      <c r="U282" s="1">
        <f t="shared" si="59"/>
        <v>65.8</v>
      </c>
      <c r="V282" s="42">
        <f t="shared" si="60"/>
        <v>20</v>
      </c>
      <c r="W282" s="43">
        <f t="shared" ref="W282:W292" si="62">U282+V282</f>
        <v>85.8</v>
      </c>
      <c r="Y282" s="52" t="s">
        <v>41</v>
      </c>
      <c r="Z282" s="50" t="s">
        <v>29</v>
      </c>
      <c r="AA282" s="53">
        <v>1</v>
      </c>
    </row>
    <row r="283" spans="2:27" s="54" customFormat="1" ht="17.25" customHeight="1" x14ac:dyDescent="0.3">
      <c r="B283" s="30">
        <v>8</v>
      </c>
      <c r="C283" s="31" t="s">
        <v>53</v>
      </c>
      <c r="D283" s="31" t="s">
        <v>54</v>
      </c>
      <c r="E283" s="32">
        <v>0.7</v>
      </c>
      <c r="F283" s="33">
        <v>0.3</v>
      </c>
      <c r="G283" s="33">
        <f t="shared" si="57"/>
        <v>1</v>
      </c>
      <c r="H283" s="34" t="s">
        <v>82</v>
      </c>
      <c r="I283" s="35">
        <v>1</v>
      </c>
      <c r="J283" s="36">
        <v>437100</v>
      </c>
      <c r="K283" s="37">
        <f t="shared" si="56"/>
        <v>437100</v>
      </c>
      <c r="L283" s="38"/>
      <c r="M283" s="38"/>
      <c r="N283" s="38"/>
      <c r="O283" s="38"/>
      <c r="P283" s="38"/>
      <c r="Q283" s="39">
        <v>18</v>
      </c>
      <c r="R283" s="57">
        <v>17</v>
      </c>
      <c r="S283" s="58">
        <v>0</v>
      </c>
      <c r="T283">
        <f t="shared" si="58"/>
        <v>0.94444444444444442</v>
      </c>
      <c r="U283" s="1">
        <f t="shared" si="59"/>
        <v>0</v>
      </c>
      <c r="V283" s="42">
        <f t="shared" si="60"/>
        <v>28.333333333333332</v>
      </c>
      <c r="W283" s="43">
        <f t="shared" si="62"/>
        <v>28.333333333333332</v>
      </c>
      <c r="Y283" s="59" t="s">
        <v>45</v>
      </c>
      <c r="Z283" s="54" t="s">
        <v>32</v>
      </c>
      <c r="AA283" s="60">
        <v>0.9</v>
      </c>
    </row>
    <row r="284" spans="2:27" ht="17.25" customHeight="1" x14ac:dyDescent="0.3">
      <c r="B284" s="30">
        <v>9</v>
      </c>
      <c r="C284" s="31" t="s">
        <v>58</v>
      </c>
      <c r="D284" s="31" t="s">
        <v>59</v>
      </c>
      <c r="E284" s="32">
        <v>0.59</v>
      </c>
      <c r="F284" s="33">
        <v>7.0000000000000007E-2</v>
      </c>
      <c r="G284" s="33">
        <f t="shared" si="57"/>
        <v>0.65999999999999992</v>
      </c>
      <c r="H284" s="34" t="s">
        <v>52</v>
      </c>
      <c r="I284" s="35">
        <v>0.4</v>
      </c>
      <c r="J284" s="36">
        <v>437100</v>
      </c>
      <c r="K284" s="37">
        <f t="shared" si="56"/>
        <v>174840</v>
      </c>
      <c r="L284" s="38"/>
      <c r="M284" s="38"/>
      <c r="N284" s="38"/>
      <c r="O284" s="38"/>
      <c r="P284" s="38"/>
      <c r="Q284" s="39">
        <v>18</v>
      </c>
      <c r="R284" s="40">
        <v>15</v>
      </c>
      <c r="S284" s="61">
        <v>0.68</v>
      </c>
      <c r="T284">
        <f t="shared" si="58"/>
        <v>0.83333333333333337</v>
      </c>
      <c r="U284" s="1">
        <f>S284*70</f>
        <v>47.6</v>
      </c>
      <c r="V284" s="42">
        <f t="shared" si="60"/>
        <v>25</v>
      </c>
      <c r="W284" s="43">
        <f t="shared" si="62"/>
        <v>72.599999999999994</v>
      </c>
      <c r="Y284" s="62" t="s">
        <v>48</v>
      </c>
      <c r="Z284" s="1" t="s">
        <v>35</v>
      </c>
      <c r="AA284" s="63">
        <v>0.7</v>
      </c>
    </row>
    <row r="285" spans="2:27" ht="17.25" customHeight="1" x14ac:dyDescent="0.3">
      <c r="B285" s="30">
        <v>10</v>
      </c>
      <c r="C285" s="31" t="s">
        <v>60</v>
      </c>
      <c r="D285" s="31" t="s">
        <v>61</v>
      </c>
      <c r="E285" s="32">
        <v>0.5</v>
      </c>
      <c r="F285" s="33">
        <v>0.3</v>
      </c>
      <c r="G285" s="33">
        <f t="shared" si="57"/>
        <v>0.8</v>
      </c>
      <c r="H285" s="34" t="s">
        <v>35</v>
      </c>
      <c r="I285" s="35">
        <v>0.7</v>
      </c>
      <c r="J285" s="36">
        <v>437100</v>
      </c>
      <c r="K285" s="37">
        <f t="shared" si="56"/>
        <v>305970</v>
      </c>
      <c r="L285" s="38"/>
      <c r="M285" s="38"/>
      <c r="N285" s="38"/>
      <c r="O285" s="38"/>
      <c r="P285" s="38"/>
      <c r="Q285" s="39">
        <v>18</v>
      </c>
      <c r="R285" s="40">
        <v>10</v>
      </c>
      <c r="S285" s="41">
        <v>0.9</v>
      </c>
      <c r="T285">
        <f t="shared" si="58"/>
        <v>0.55555555555555558</v>
      </c>
      <c r="U285" s="1">
        <f t="shared" ref="U285:U292" si="63">S285*70</f>
        <v>63</v>
      </c>
      <c r="V285" s="42">
        <f t="shared" si="60"/>
        <v>16.666666666666668</v>
      </c>
      <c r="W285" s="43">
        <f t="shared" si="62"/>
        <v>79.666666666666671</v>
      </c>
      <c r="Y285" s="62" t="s">
        <v>51</v>
      </c>
      <c r="Z285" s="1" t="s">
        <v>52</v>
      </c>
      <c r="AA285" s="63">
        <v>0.4</v>
      </c>
    </row>
    <row r="286" spans="2:27" ht="17.25" customHeight="1" x14ac:dyDescent="0.3">
      <c r="B286" s="30">
        <v>11</v>
      </c>
      <c r="C286" s="31" t="s">
        <v>62</v>
      </c>
      <c r="D286" s="31" t="s">
        <v>63</v>
      </c>
      <c r="E286" s="32">
        <v>0.56999999999999995</v>
      </c>
      <c r="F286" s="33">
        <v>0.3</v>
      </c>
      <c r="G286" s="33">
        <f t="shared" si="57"/>
        <v>0.86999999999999988</v>
      </c>
      <c r="H286" s="87" t="s">
        <v>32</v>
      </c>
      <c r="I286" s="35">
        <v>0.9</v>
      </c>
      <c r="J286" s="36">
        <v>437100</v>
      </c>
      <c r="K286" s="37">
        <f t="shared" si="56"/>
        <v>393390</v>
      </c>
      <c r="L286" s="38"/>
      <c r="M286" s="38"/>
      <c r="N286" s="38"/>
      <c r="O286" s="38"/>
      <c r="P286" s="38"/>
      <c r="Q286" s="39">
        <v>18</v>
      </c>
      <c r="R286" s="40">
        <v>18</v>
      </c>
      <c r="S286" s="41">
        <v>1</v>
      </c>
      <c r="T286">
        <f t="shared" si="58"/>
        <v>1</v>
      </c>
      <c r="U286" s="1">
        <f t="shared" si="63"/>
        <v>70</v>
      </c>
      <c r="V286" s="42">
        <f t="shared" si="60"/>
        <v>30</v>
      </c>
      <c r="W286" s="43">
        <f t="shared" si="62"/>
        <v>100</v>
      </c>
      <c r="Y286" s="62" t="s">
        <v>55</v>
      </c>
      <c r="Z286" s="1" t="s">
        <v>56</v>
      </c>
      <c r="AA286" s="63">
        <v>0.1</v>
      </c>
    </row>
    <row r="287" spans="2:27" ht="17.25" customHeight="1" x14ac:dyDescent="0.3">
      <c r="B287" s="30">
        <v>12</v>
      </c>
      <c r="C287" s="31" t="s">
        <v>64</v>
      </c>
      <c r="D287" s="31" t="s">
        <v>65</v>
      </c>
      <c r="E287" s="32">
        <v>0.67</v>
      </c>
      <c r="F287" s="33">
        <v>0.27</v>
      </c>
      <c r="G287" s="33">
        <f t="shared" si="57"/>
        <v>0.94000000000000006</v>
      </c>
      <c r="H287" s="34" t="s">
        <v>82</v>
      </c>
      <c r="I287" s="35">
        <v>1</v>
      </c>
      <c r="J287" s="36">
        <v>437100</v>
      </c>
      <c r="K287" s="37">
        <f t="shared" si="56"/>
        <v>437100</v>
      </c>
      <c r="L287" s="38"/>
      <c r="M287" s="38"/>
      <c r="N287" s="38"/>
      <c r="O287" s="38"/>
      <c r="P287" s="38"/>
      <c r="Q287" s="39">
        <v>18</v>
      </c>
      <c r="R287" s="40">
        <v>4</v>
      </c>
      <c r="S287" s="41">
        <v>0.84</v>
      </c>
      <c r="T287">
        <f t="shared" si="58"/>
        <v>0.22222222222222221</v>
      </c>
      <c r="U287" s="1">
        <f t="shared" si="63"/>
        <v>58.8</v>
      </c>
      <c r="V287" s="42">
        <f t="shared" si="60"/>
        <v>6.6666666666666661</v>
      </c>
      <c r="W287" s="43">
        <f t="shared" si="62"/>
        <v>65.466666666666669</v>
      </c>
      <c r="Y287" s="12"/>
    </row>
    <row r="288" spans="2:27" ht="17.25" customHeight="1" x14ac:dyDescent="0.3">
      <c r="B288" s="30">
        <v>13</v>
      </c>
      <c r="C288" s="31" t="s">
        <v>66</v>
      </c>
      <c r="D288" s="31" t="s">
        <v>67</v>
      </c>
      <c r="E288" s="32">
        <v>0.57999999999999996</v>
      </c>
      <c r="F288" s="33">
        <v>0.23</v>
      </c>
      <c r="G288" s="33">
        <f t="shared" si="57"/>
        <v>0.80999999999999994</v>
      </c>
      <c r="H288" s="87" t="s">
        <v>32</v>
      </c>
      <c r="I288" s="35">
        <v>0.9</v>
      </c>
      <c r="J288" s="36">
        <v>437100</v>
      </c>
      <c r="K288" s="37">
        <f t="shared" si="56"/>
        <v>393390</v>
      </c>
      <c r="L288" s="38"/>
      <c r="M288" s="38"/>
      <c r="N288" s="38"/>
      <c r="O288" s="38"/>
      <c r="P288" s="38"/>
      <c r="Q288" s="39">
        <v>18</v>
      </c>
      <c r="R288" s="40">
        <v>18</v>
      </c>
      <c r="S288" s="41">
        <v>0.72</v>
      </c>
      <c r="T288">
        <f t="shared" si="58"/>
        <v>1</v>
      </c>
      <c r="U288" s="1">
        <f t="shared" si="63"/>
        <v>50.4</v>
      </c>
      <c r="V288" s="42">
        <f t="shared" si="60"/>
        <v>30</v>
      </c>
      <c r="W288" s="43">
        <f t="shared" si="62"/>
        <v>80.400000000000006</v>
      </c>
    </row>
    <row r="289" spans="2:29" ht="17.25" customHeight="1" x14ac:dyDescent="0.3">
      <c r="B289" s="30">
        <v>14</v>
      </c>
      <c r="C289" s="31" t="s">
        <v>68</v>
      </c>
      <c r="D289" s="31" t="s">
        <v>69</v>
      </c>
      <c r="E289" s="32">
        <v>0.7</v>
      </c>
      <c r="F289" s="33">
        <v>0.3</v>
      </c>
      <c r="G289" s="33">
        <f t="shared" si="57"/>
        <v>1</v>
      </c>
      <c r="H289" s="34" t="s">
        <v>82</v>
      </c>
      <c r="I289" s="35">
        <v>1</v>
      </c>
      <c r="J289" s="36">
        <v>437100</v>
      </c>
      <c r="K289" s="37">
        <f t="shared" si="56"/>
        <v>437100</v>
      </c>
      <c r="L289" s="38"/>
      <c r="M289" s="38"/>
      <c r="N289" s="38"/>
      <c r="O289" s="38"/>
      <c r="P289" s="38"/>
      <c r="Q289" s="39">
        <v>18</v>
      </c>
      <c r="R289" s="40">
        <v>18</v>
      </c>
      <c r="S289" s="41">
        <v>0.81</v>
      </c>
      <c r="T289">
        <f t="shared" si="58"/>
        <v>1</v>
      </c>
      <c r="U289" s="1">
        <f t="shared" si="63"/>
        <v>56.7</v>
      </c>
      <c r="V289" s="42">
        <f t="shared" si="60"/>
        <v>30</v>
      </c>
      <c r="W289" s="43">
        <f t="shared" si="62"/>
        <v>86.7</v>
      </c>
    </row>
    <row r="290" spans="2:29" ht="17.25" customHeight="1" x14ac:dyDescent="0.3">
      <c r="B290" s="30"/>
      <c r="C290" s="31"/>
      <c r="D290" s="31"/>
      <c r="E290" s="32"/>
      <c r="F290" s="33"/>
      <c r="G290" s="33"/>
      <c r="H290" s="34"/>
      <c r="I290" s="35"/>
      <c r="J290" s="104">
        <f>SUM(J276:J289)</f>
        <v>6591440</v>
      </c>
      <c r="K290" s="104">
        <f>SUM(K276:K289)</f>
        <v>5275276</v>
      </c>
      <c r="L290" s="105"/>
      <c r="M290" s="105"/>
      <c r="N290" s="38"/>
      <c r="O290" s="38"/>
      <c r="P290" s="38"/>
      <c r="Q290" s="39">
        <v>18</v>
      </c>
      <c r="R290" s="40">
        <v>16</v>
      </c>
      <c r="S290" s="41">
        <v>0.96</v>
      </c>
      <c r="T290">
        <f t="shared" si="58"/>
        <v>0.88888888888888884</v>
      </c>
      <c r="U290" s="1">
        <f t="shared" si="63"/>
        <v>67.2</v>
      </c>
      <c r="V290" s="42">
        <f t="shared" si="60"/>
        <v>26.666666666666664</v>
      </c>
      <c r="W290" s="43">
        <f t="shared" si="62"/>
        <v>93.866666666666674</v>
      </c>
    </row>
    <row r="291" spans="2:29" ht="17.25" customHeight="1" x14ac:dyDescent="0.3">
      <c r="B291" s="74"/>
      <c r="C291" s="8"/>
      <c r="D291" s="8"/>
      <c r="E291" s="8"/>
      <c r="F291" s="8"/>
      <c r="G291" s="97"/>
      <c r="H291" s="9"/>
      <c r="I291" s="9"/>
      <c r="J291" s="10"/>
      <c r="K291" s="8"/>
      <c r="L291" s="8"/>
      <c r="M291" s="8"/>
      <c r="N291" s="38"/>
      <c r="O291" s="38"/>
      <c r="P291" s="38"/>
      <c r="Q291" s="39">
        <v>18</v>
      </c>
      <c r="R291" s="40">
        <v>14</v>
      </c>
      <c r="S291" s="41">
        <v>0.83</v>
      </c>
      <c r="T291">
        <f t="shared" si="58"/>
        <v>0.77777777777777779</v>
      </c>
      <c r="U291" s="1">
        <f t="shared" si="63"/>
        <v>58.099999999999994</v>
      </c>
      <c r="V291" s="42">
        <f t="shared" si="60"/>
        <v>23.333333333333332</v>
      </c>
      <c r="W291" s="43">
        <f t="shared" si="62"/>
        <v>81.433333333333323</v>
      </c>
    </row>
    <row r="292" spans="2:29" ht="17.25" customHeight="1" x14ac:dyDescent="0.3">
      <c r="B292" s="74"/>
      <c r="C292" s="8"/>
      <c r="D292" s="8"/>
      <c r="E292" s="98"/>
      <c r="F292" s="99"/>
      <c r="G292" s="97"/>
      <c r="H292" s="9"/>
      <c r="I292" s="213" t="s">
        <v>86</v>
      </c>
      <c r="J292" s="213"/>
      <c r="K292" s="8"/>
      <c r="L292" s="8"/>
      <c r="M292" s="8"/>
      <c r="N292" s="38"/>
      <c r="O292" s="38"/>
      <c r="P292" s="38"/>
      <c r="Q292" s="39">
        <v>18</v>
      </c>
      <c r="R292" s="40">
        <v>18</v>
      </c>
      <c r="S292" s="41">
        <v>1</v>
      </c>
      <c r="T292">
        <f t="shared" si="58"/>
        <v>1</v>
      </c>
      <c r="U292" s="1">
        <f t="shared" si="63"/>
        <v>70</v>
      </c>
      <c r="V292" s="42">
        <f t="shared" si="60"/>
        <v>30</v>
      </c>
      <c r="W292" s="43">
        <f t="shared" si="62"/>
        <v>100</v>
      </c>
    </row>
    <row r="293" spans="2:29" ht="17.25" customHeight="1" x14ac:dyDescent="0.3">
      <c r="B293" s="74"/>
      <c r="C293" s="8"/>
      <c r="D293" s="8"/>
      <c r="E293" s="98"/>
      <c r="F293" s="99"/>
      <c r="G293" s="97"/>
      <c r="H293" s="9"/>
      <c r="I293" s="213" t="s">
        <v>87</v>
      </c>
      <c r="J293" s="213"/>
      <c r="K293" s="8"/>
      <c r="L293" s="8"/>
      <c r="M293" s="8"/>
      <c r="N293" s="105"/>
      <c r="O293" s="38"/>
      <c r="P293" s="38"/>
      <c r="Q293" s="39"/>
      <c r="R293" s="40"/>
      <c r="S293" s="41"/>
      <c r="T293"/>
      <c r="V293" s="42"/>
      <c r="W293" s="43"/>
    </row>
    <row r="294" spans="2:29" ht="12" customHeight="1" x14ac:dyDescent="0.3">
      <c r="B294" s="7"/>
      <c r="C294" s="8"/>
      <c r="D294" s="8"/>
      <c r="E294" s="98"/>
      <c r="F294" s="99"/>
      <c r="G294" s="100"/>
      <c r="H294" s="9"/>
      <c r="I294" s="9"/>
      <c r="J294" s="10"/>
      <c r="K294" s="8"/>
      <c r="L294" s="8"/>
      <c r="M294" s="8"/>
      <c r="N294" s="8"/>
      <c r="O294" s="8"/>
      <c r="P294" s="8"/>
      <c r="Q294" s="11"/>
      <c r="S294" s="1">
        <v>84</v>
      </c>
      <c r="U294" s="1">
        <f>S294*70</f>
        <v>5880</v>
      </c>
    </row>
    <row r="295" spans="2:29" ht="15.6" x14ac:dyDescent="0.3">
      <c r="B295" s="7"/>
      <c r="C295" s="8"/>
      <c r="D295" s="8"/>
      <c r="E295" s="98"/>
      <c r="F295" s="99"/>
      <c r="G295" s="8"/>
      <c r="H295" s="9"/>
      <c r="I295" s="9"/>
      <c r="J295" s="10"/>
      <c r="K295" s="8"/>
      <c r="L295" s="8"/>
      <c r="M295" s="8"/>
      <c r="N295" s="8"/>
      <c r="O295" s="8"/>
      <c r="P295" s="8"/>
      <c r="Q295" s="11"/>
    </row>
    <row r="296" spans="2:29" ht="15.6" x14ac:dyDescent="0.3">
      <c r="B296" s="7"/>
      <c r="C296" s="8"/>
      <c r="D296" s="8"/>
      <c r="E296" s="77"/>
      <c r="F296" s="99"/>
      <c r="G296" s="8"/>
      <c r="H296" s="9"/>
      <c r="I296" s="9"/>
      <c r="J296" s="10"/>
      <c r="K296" s="8"/>
      <c r="L296" s="8"/>
      <c r="M296" s="8"/>
      <c r="N296" s="8"/>
      <c r="O296" s="8"/>
      <c r="P296" s="8"/>
      <c r="Q296" s="11"/>
      <c r="AC296" s="63"/>
    </row>
    <row r="297" spans="2:29" ht="15.6" x14ac:dyDescent="0.3">
      <c r="B297" s="7"/>
      <c r="C297" s="8"/>
      <c r="D297" s="8"/>
      <c r="E297" s="98"/>
      <c r="F297" s="99"/>
      <c r="G297" s="8"/>
      <c r="H297" s="9"/>
      <c r="I297" s="214" t="s">
        <v>71</v>
      </c>
      <c r="J297" s="214"/>
      <c r="K297" s="8"/>
      <c r="L297" s="8"/>
      <c r="M297" s="8"/>
      <c r="N297" s="8"/>
      <c r="O297" s="8"/>
      <c r="P297" s="8"/>
      <c r="Q297" s="11"/>
    </row>
    <row r="298" spans="2:29" ht="15.6" x14ac:dyDescent="0.3">
      <c r="N298" s="8"/>
      <c r="O298" s="8"/>
      <c r="P298" s="8"/>
      <c r="Q298" s="11"/>
    </row>
    <row r="299" spans="2:29" ht="15.6" x14ac:dyDescent="0.3">
      <c r="N299" s="8"/>
      <c r="O299" s="8"/>
      <c r="P299" s="8"/>
      <c r="Q299" s="11"/>
    </row>
    <row r="300" spans="2:29" ht="15.6" x14ac:dyDescent="0.3">
      <c r="N300" s="8"/>
      <c r="O300" s="8"/>
      <c r="P300" s="8"/>
      <c r="Q300" s="11"/>
    </row>
    <row r="319" spans="2:13" ht="15.6" x14ac:dyDescent="0.3">
      <c r="B319" s="212" t="s">
        <v>0</v>
      </c>
      <c r="C319" s="212"/>
      <c r="D319" s="212"/>
      <c r="E319" s="212"/>
      <c r="F319" s="212"/>
      <c r="G319" s="212"/>
      <c r="H319" s="212"/>
      <c r="I319" s="212"/>
      <c r="J319" s="212"/>
      <c r="K319" s="212"/>
      <c r="L319" s="2"/>
      <c r="M319" s="2"/>
    </row>
    <row r="320" spans="2:13" ht="15.6" x14ac:dyDescent="0.3">
      <c r="B320" s="216" t="s">
        <v>83</v>
      </c>
      <c r="C320" s="216"/>
      <c r="D320" s="216"/>
      <c r="E320" s="216"/>
      <c r="F320" s="216"/>
      <c r="G320" s="216"/>
      <c r="H320" s="216"/>
      <c r="I320" s="216"/>
      <c r="J320" s="216"/>
      <c r="K320" s="216"/>
      <c r="L320" s="6"/>
      <c r="M320" s="6"/>
    </row>
    <row r="321" spans="2:27" ht="15.6" x14ac:dyDescent="0.3">
      <c r="B321" s="7"/>
      <c r="C321" s="8"/>
      <c r="D321" s="8"/>
      <c r="E321" s="8"/>
      <c r="F321" s="8"/>
      <c r="G321" s="8"/>
      <c r="H321" s="9"/>
      <c r="I321" s="9"/>
      <c r="J321" s="10"/>
      <c r="K321" s="8"/>
      <c r="L321" s="8"/>
      <c r="M321" s="8"/>
    </row>
    <row r="322" spans="2:27" ht="93.6" x14ac:dyDescent="0.3">
      <c r="B322" s="14" t="s">
        <v>2</v>
      </c>
      <c r="C322" s="14" t="s">
        <v>3</v>
      </c>
      <c r="D322" s="14" t="s">
        <v>4</v>
      </c>
      <c r="E322" s="15" t="s">
        <v>5</v>
      </c>
      <c r="F322" s="15" t="s">
        <v>6</v>
      </c>
      <c r="G322" s="15" t="s">
        <v>7</v>
      </c>
      <c r="H322" s="15" t="s">
        <v>8</v>
      </c>
      <c r="I322" s="15" t="s">
        <v>9</v>
      </c>
      <c r="J322" s="16" t="s">
        <v>10</v>
      </c>
      <c r="K322" s="15" t="s">
        <v>11</v>
      </c>
      <c r="L322" s="17"/>
      <c r="M322" s="17"/>
      <c r="N322" s="2"/>
      <c r="O322" s="2"/>
      <c r="P322" s="2"/>
      <c r="Q322" s="3"/>
      <c r="R322" s="4"/>
      <c r="S322" s="5"/>
      <c r="T322" s="5"/>
    </row>
    <row r="323" spans="2:27" ht="15.6" x14ac:dyDescent="0.3">
      <c r="B323" s="23" t="s">
        <v>17</v>
      </c>
      <c r="C323" s="23" t="s">
        <v>18</v>
      </c>
      <c r="D323" s="23" t="s">
        <v>19</v>
      </c>
      <c r="E323" s="23" t="s">
        <v>20</v>
      </c>
      <c r="F323" s="23" t="s">
        <v>21</v>
      </c>
      <c r="G323" s="23" t="s">
        <v>22</v>
      </c>
      <c r="H323" s="24" t="s">
        <v>23</v>
      </c>
      <c r="I323" s="24" t="s">
        <v>24</v>
      </c>
      <c r="J323" s="25" t="s">
        <v>25</v>
      </c>
      <c r="K323" s="24" t="s">
        <v>26</v>
      </c>
      <c r="L323" s="26"/>
      <c r="M323" s="26"/>
      <c r="N323" s="6"/>
      <c r="O323" s="6"/>
      <c r="P323" s="6"/>
      <c r="Q323" s="3"/>
      <c r="R323" s="4"/>
      <c r="S323" s="5"/>
      <c r="T323" s="5"/>
    </row>
    <row r="324" spans="2:27" ht="12" customHeight="1" x14ac:dyDescent="0.3">
      <c r="B324" s="30">
        <v>1</v>
      </c>
      <c r="C324" s="31" t="s">
        <v>27</v>
      </c>
      <c r="D324" s="31" t="s">
        <v>28</v>
      </c>
      <c r="E324" s="32">
        <v>0.68</v>
      </c>
      <c r="F324" s="33">
        <v>0.27</v>
      </c>
      <c r="G324" s="33">
        <f>E324+F324</f>
        <v>0.95000000000000007</v>
      </c>
      <c r="H324" s="34" t="s">
        <v>82</v>
      </c>
      <c r="I324" s="35">
        <v>1</v>
      </c>
      <c r="J324" s="36">
        <v>581340</v>
      </c>
      <c r="K324" s="37">
        <f t="shared" ref="K324:K337" si="64">I324*J324</f>
        <v>581340</v>
      </c>
      <c r="L324" s="38"/>
      <c r="M324" s="38"/>
      <c r="N324" s="8"/>
      <c r="O324" s="8"/>
      <c r="P324" s="8"/>
      <c r="Q324" s="11" t="s">
        <v>88</v>
      </c>
    </row>
    <row r="325" spans="2:27" s="13" customFormat="1" ht="95.25" customHeight="1" x14ac:dyDescent="0.3">
      <c r="B325" s="30">
        <v>2</v>
      </c>
      <c r="C325" s="31" t="s">
        <v>30</v>
      </c>
      <c r="D325" s="31" t="s">
        <v>31</v>
      </c>
      <c r="E325" s="32">
        <v>0.61</v>
      </c>
      <c r="F325" s="33">
        <v>0.23</v>
      </c>
      <c r="G325" s="33">
        <f t="shared" ref="G325:G337" si="65">E325+F325</f>
        <v>0.84</v>
      </c>
      <c r="H325" s="34" t="s">
        <v>32</v>
      </c>
      <c r="I325" s="35">
        <v>0.9</v>
      </c>
      <c r="J325" s="36">
        <v>502660</v>
      </c>
      <c r="K325" s="37">
        <f t="shared" si="64"/>
        <v>452394</v>
      </c>
      <c r="L325" s="38"/>
      <c r="M325" s="38"/>
      <c r="N325" s="17"/>
      <c r="O325" s="17"/>
      <c r="P325" s="17"/>
      <c r="Q325" s="94"/>
      <c r="R325" s="18"/>
      <c r="S325" s="19" t="s">
        <v>12</v>
      </c>
      <c r="T325" s="19" t="s">
        <v>13</v>
      </c>
      <c r="U325" s="20" t="s">
        <v>14</v>
      </c>
      <c r="V325" s="21" t="s">
        <v>15</v>
      </c>
      <c r="W325" s="20" t="s">
        <v>16</v>
      </c>
    </row>
    <row r="326" spans="2:27" s="22" customFormat="1" ht="15" customHeight="1" x14ac:dyDescent="0.3">
      <c r="B326" s="30">
        <v>3</v>
      </c>
      <c r="C326" s="31" t="s">
        <v>33</v>
      </c>
      <c r="D326" s="31" t="s">
        <v>34</v>
      </c>
      <c r="E326" s="32">
        <v>0.64</v>
      </c>
      <c r="F326" s="33">
        <v>0.3</v>
      </c>
      <c r="G326" s="33">
        <f t="shared" si="65"/>
        <v>0.94</v>
      </c>
      <c r="H326" s="34" t="s">
        <v>82</v>
      </c>
      <c r="I326" s="35">
        <v>1</v>
      </c>
      <c r="J326" s="36">
        <v>502660</v>
      </c>
      <c r="K326" s="37">
        <f t="shared" si="64"/>
        <v>502660</v>
      </c>
      <c r="L326" s="38"/>
      <c r="M326" s="38"/>
      <c r="N326" s="26"/>
      <c r="O326" s="26"/>
      <c r="P326" s="26"/>
      <c r="Q326" s="27"/>
      <c r="R326" s="28"/>
      <c r="S326" s="29"/>
      <c r="T326" s="29"/>
    </row>
    <row r="327" spans="2:27" ht="17.25" customHeight="1" x14ac:dyDescent="0.3">
      <c r="B327" s="44">
        <v>4</v>
      </c>
      <c r="C327" s="34" t="s">
        <v>39</v>
      </c>
      <c r="D327" s="34" t="s">
        <v>40</v>
      </c>
      <c r="E327" s="32">
        <v>0.66</v>
      </c>
      <c r="F327" s="46">
        <v>0.22</v>
      </c>
      <c r="G327" s="33">
        <f t="shared" si="65"/>
        <v>0.88</v>
      </c>
      <c r="H327" s="34" t="s">
        <v>32</v>
      </c>
      <c r="I327" s="35">
        <v>0.9</v>
      </c>
      <c r="J327" s="48">
        <v>502660</v>
      </c>
      <c r="K327" s="37">
        <f t="shared" si="64"/>
        <v>452394</v>
      </c>
      <c r="L327" s="38"/>
      <c r="M327" s="38"/>
      <c r="N327" s="38"/>
      <c r="O327" s="38"/>
      <c r="P327" s="38"/>
      <c r="Q327" s="39">
        <v>23</v>
      </c>
      <c r="R327" s="40">
        <v>21</v>
      </c>
      <c r="S327" s="41">
        <v>0.97499999999999998</v>
      </c>
      <c r="T327">
        <f>R327/Q327</f>
        <v>0.91304347826086951</v>
      </c>
      <c r="U327" s="1">
        <f>S327*70</f>
        <v>68.25</v>
      </c>
      <c r="V327" s="42">
        <f>T327*30</f>
        <v>27.391304347826086</v>
      </c>
      <c r="W327" s="43">
        <f>U327+V327</f>
        <v>95.641304347826093</v>
      </c>
    </row>
    <row r="328" spans="2:27" ht="17.25" customHeight="1" x14ac:dyDescent="0.3">
      <c r="B328" s="55">
        <v>5</v>
      </c>
      <c r="C328" s="56" t="s">
        <v>42</v>
      </c>
      <c r="D328" s="56" t="s">
        <v>43</v>
      </c>
      <c r="E328" s="45">
        <v>0</v>
      </c>
      <c r="F328" s="46">
        <v>0.27</v>
      </c>
      <c r="G328" s="33">
        <f t="shared" si="65"/>
        <v>0.27</v>
      </c>
      <c r="H328" s="34" t="s">
        <v>44</v>
      </c>
      <c r="I328" s="47">
        <v>0.1</v>
      </c>
      <c r="J328" s="48">
        <v>502660</v>
      </c>
      <c r="K328" s="37">
        <f t="shared" si="64"/>
        <v>50266</v>
      </c>
      <c r="L328" s="38"/>
      <c r="M328" s="38"/>
      <c r="N328" s="38"/>
      <c r="O328" s="38"/>
      <c r="P328" s="38"/>
      <c r="Q328" s="39">
        <v>23</v>
      </c>
      <c r="R328" s="40">
        <v>18</v>
      </c>
      <c r="S328" s="41">
        <v>0.87</v>
      </c>
      <c r="T328">
        <f t="shared" ref="T328:T340" si="66">R328/Q328</f>
        <v>0.78260869565217395</v>
      </c>
      <c r="U328" s="1">
        <f t="shared" ref="U328:U340" si="67">S328*70</f>
        <v>60.9</v>
      </c>
      <c r="V328" s="42">
        <f t="shared" ref="V328:V340" si="68">T328*30</f>
        <v>23.478260869565219</v>
      </c>
      <c r="W328" s="43">
        <f t="shared" ref="W328:W340" si="69">U328+V328</f>
        <v>84.378260869565224</v>
      </c>
    </row>
    <row r="329" spans="2:27" ht="17.25" customHeight="1" x14ac:dyDescent="0.3">
      <c r="B329" s="30">
        <v>6</v>
      </c>
      <c r="C329" s="31" t="s">
        <v>46</v>
      </c>
      <c r="D329" s="31" t="s">
        <v>47</v>
      </c>
      <c r="E329" s="32">
        <v>0.48</v>
      </c>
      <c r="F329" s="33">
        <v>0.26</v>
      </c>
      <c r="G329" s="33">
        <f t="shared" si="65"/>
        <v>0.74</v>
      </c>
      <c r="H329" s="87" t="s">
        <v>35</v>
      </c>
      <c r="I329" s="35">
        <v>0.7</v>
      </c>
      <c r="J329" s="36">
        <v>502660</v>
      </c>
      <c r="K329" s="37">
        <f t="shared" si="64"/>
        <v>351862</v>
      </c>
      <c r="L329" s="38"/>
      <c r="M329" s="38"/>
      <c r="N329" s="38"/>
      <c r="O329" s="38"/>
      <c r="P329" s="38"/>
      <c r="Q329" s="39">
        <v>23</v>
      </c>
      <c r="R329" s="40">
        <v>23</v>
      </c>
      <c r="S329" s="41">
        <v>0.92</v>
      </c>
      <c r="T329">
        <f t="shared" si="66"/>
        <v>1</v>
      </c>
      <c r="U329" s="1">
        <f t="shared" si="67"/>
        <v>64.400000000000006</v>
      </c>
      <c r="V329" s="42">
        <f t="shared" si="68"/>
        <v>30</v>
      </c>
      <c r="W329" s="43">
        <f>U329+V329</f>
        <v>94.4</v>
      </c>
      <c r="Y329" s="102" t="s">
        <v>36</v>
      </c>
      <c r="Z329" s="103" t="s">
        <v>37</v>
      </c>
      <c r="AA329" s="103" t="s">
        <v>38</v>
      </c>
    </row>
    <row r="330" spans="2:27" s="50" customFormat="1" ht="17.25" customHeight="1" x14ac:dyDescent="0.3">
      <c r="B330" s="30">
        <v>7</v>
      </c>
      <c r="C330" s="31" t="s">
        <v>49</v>
      </c>
      <c r="D330" s="31" t="s">
        <v>50</v>
      </c>
      <c r="E330" s="32">
        <v>0.63</v>
      </c>
      <c r="F330" s="33">
        <v>0.19</v>
      </c>
      <c r="G330" s="33">
        <f>E330+F330</f>
        <v>0.82000000000000006</v>
      </c>
      <c r="H330" s="34" t="s">
        <v>32</v>
      </c>
      <c r="I330" s="35">
        <v>0.9</v>
      </c>
      <c r="J330" s="36">
        <v>437100</v>
      </c>
      <c r="K330" s="37">
        <f t="shared" si="64"/>
        <v>393390</v>
      </c>
      <c r="L330" s="38"/>
      <c r="M330" s="38"/>
      <c r="N330" s="38"/>
      <c r="O330" s="38"/>
      <c r="P330" s="38"/>
      <c r="Q330" s="39">
        <v>23</v>
      </c>
      <c r="R330" s="51">
        <v>17</v>
      </c>
      <c r="S330" s="70">
        <v>0.94</v>
      </c>
      <c r="T330">
        <f t="shared" si="66"/>
        <v>0.73913043478260865</v>
      </c>
      <c r="U330" s="1">
        <f t="shared" si="67"/>
        <v>65.8</v>
      </c>
      <c r="V330" s="42">
        <f t="shared" si="68"/>
        <v>22.173913043478258</v>
      </c>
      <c r="W330" s="43">
        <f t="shared" si="69"/>
        <v>87.973913043478262</v>
      </c>
      <c r="Y330" s="52" t="s">
        <v>41</v>
      </c>
      <c r="Z330" s="50" t="s">
        <v>29</v>
      </c>
      <c r="AA330" s="53">
        <v>1</v>
      </c>
    </row>
    <row r="331" spans="2:27" s="54" customFormat="1" ht="17.25" customHeight="1" x14ac:dyDescent="0.3">
      <c r="B331" s="30">
        <v>8</v>
      </c>
      <c r="C331" s="31" t="s">
        <v>53</v>
      </c>
      <c r="D331" s="31" t="s">
        <v>54</v>
      </c>
      <c r="E331" s="32">
        <v>0.7</v>
      </c>
      <c r="F331" s="33">
        <v>0.3</v>
      </c>
      <c r="G331" s="33">
        <f>E331+F331</f>
        <v>1</v>
      </c>
      <c r="H331" s="34" t="s">
        <v>82</v>
      </c>
      <c r="I331" s="35">
        <v>1</v>
      </c>
      <c r="J331" s="36">
        <v>437100</v>
      </c>
      <c r="K331" s="37">
        <f t="shared" si="64"/>
        <v>437100</v>
      </c>
      <c r="L331" s="38"/>
      <c r="M331" s="38"/>
      <c r="N331" s="38"/>
      <c r="O331" s="38"/>
      <c r="P331" s="38"/>
      <c r="Q331" s="39">
        <v>23</v>
      </c>
      <c r="R331" s="57">
        <v>21</v>
      </c>
      <c r="S331" s="58">
        <v>0</v>
      </c>
      <c r="T331">
        <f t="shared" si="66"/>
        <v>0.91304347826086951</v>
      </c>
      <c r="U331" s="1">
        <f t="shared" si="67"/>
        <v>0</v>
      </c>
      <c r="V331" s="42">
        <f t="shared" si="68"/>
        <v>27.391304347826086</v>
      </c>
      <c r="W331" s="43">
        <f t="shared" si="69"/>
        <v>27.391304347826086</v>
      </c>
      <c r="Y331" s="59" t="s">
        <v>45</v>
      </c>
      <c r="Z331" s="54" t="s">
        <v>32</v>
      </c>
      <c r="AA331" s="60">
        <v>0.9</v>
      </c>
    </row>
    <row r="332" spans="2:27" ht="17.25" customHeight="1" x14ac:dyDescent="0.3">
      <c r="B332" s="30">
        <v>9</v>
      </c>
      <c r="C332" s="31" t="s">
        <v>58</v>
      </c>
      <c r="D332" s="31" t="s">
        <v>59</v>
      </c>
      <c r="E332" s="32">
        <v>0.59</v>
      </c>
      <c r="F332" s="33">
        <v>0.1</v>
      </c>
      <c r="G332" s="33">
        <f t="shared" si="65"/>
        <v>0.69</v>
      </c>
      <c r="H332" s="34" t="s">
        <v>52</v>
      </c>
      <c r="I332" s="35">
        <v>0.4</v>
      </c>
      <c r="J332" s="36">
        <v>437100</v>
      </c>
      <c r="K332" s="37">
        <f t="shared" si="64"/>
        <v>174840</v>
      </c>
      <c r="L332" s="38"/>
      <c r="M332" s="38"/>
      <c r="N332" s="38"/>
      <c r="O332" s="38"/>
      <c r="P332" s="38"/>
      <c r="Q332" s="39">
        <v>23</v>
      </c>
      <c r="R332" s="40">
        <v>20</v>
      </c>
      <c r="S332" s="61">
        <v>0.68</v>
      </c>
      <c r="T332">
        <f t="shared" si="66"/>
        <v>0.86956521739130432</v>
      </c>
      <c r="U332" s="1">
        <f>S332*70</f>
        <v>47.6</v>
      </c>
      <c r="V332" s="42">
        <f t="shared" si="68"/>
        <v>26.086956521739129</v>
      </c>
      <c r="W332" s="43">
        <f t="shared" si="69"/>
        <v>73.686956521739134</v>
      </c>
      <c r="Y332" s="62" t="s">
        <v>48</v>
      </c>
      <c r="Z332" s="1" t="s">
        <v>35</v>
      </c>
      <c r="AA332" s="63">
        <v>0.7</v>
      </c>
    </row>
    <row r="333" spans="2:27" ht="17.25" customHeight="1" x14ac:dyDescent="0.3">
      <c r="B333" s="30">
        <v>10</v>
      </c>
      <c r="C333" s="31" t="s">
        <v>60</v>
      </c>
      <c r="D333" s="31" t="s">
        <v>61</v>
      </c>
      <c r="E333" s="32">
        <v>0.5</v>
      </c>
      <c r="F333" s="33">
        <v>0.3</v>
      </c>
      <c r="G333" s="33">
        <f>E333+F333</f>
        <v>0.8</v>
      </c>
      <c r="H333" s="34" t="s">
        <v>35</v>
      </c>
      <c r="I333" s="35">
        <v>0.7</v>
      </c>
      <c r="J333" s="36">
        <v>437100</v>
      </c>
      <c r="K333" s="37">
        <f t="shared" si="64"/>
        <v>305970</v>
      </c>
      <c r="L333" s="38"/>
      <c r="M333" s="38"/>
      <c r="N333" s="38"/>
      <c r="O333" s="38"/>
      <c r="P333" s="38"/>
      <c r="Q333" s="39">
        <v>23</v>
      </c>
      <c r="R333" s="40">
        <v>15</v>
      </c>
      <c r="S333" s="41">
        <v>0.9</v>
      </c>
      <c r="T333">
        <f t="shared" si="66"/>
        <v>0.65217391304347827</v>
      </c>
      <c r="U333" s="1">
        <f t="shared" si="67"/>
        <v>63</v>
      </c>
      <c r="V333" s="42">
        <f t="shared" si="68"/>
        <v>19.565217391304348</v>
      </c>
      <c r="W333" s="43">
        <f t="shared" si="69"/>
        <v>82.565217391304344</v>
      </c>
      <c r="Y333" s="62" t="s">
        <v>51</v>
      </c>
      <c r="Z333" s="1" t="s">
        <v>52</v>
      </c>
      <c r="AA333" s="63">
        <v>0.4</v>
      </c>
    </row>
    <row r="334" spans="2:27" ht="17.25" customHeight="1" x14ac:dyDescent="0.3">
      <c r="B334" s="30">
        <v>11</v>
      </c>
      <c r="C334" s="31" t="s">
        <v>62</v>
      </c>
      <c r="D334" s="31" t="s">
        <v>63</v>
      </c>
      <c r="E334" s="32">
        <v>0.56999999999999995</v>
      </c>
      <c r="F334" s="33">
        <v>0.3</v>
      </c>
      <c r="G334" s="33">
        <f t="shared" si="65"/>
        <v>0.86999999999999988</v>
      </c>
      <c r="H334" s="87" t="s">
        <v>32</v>
      </c>
      <c r="I334" s="35">
        <v>0.9</v>
      </c>
      <c r="J334" s="36">
        <v>437100</v>
      </c>
      <c r="K334" s="37">
        <f t="shared" si="64"/>
        <v>393390</v>
      </c>
      <c r="L334" s="38"/>
      <c r="M334" s="38"/>
      <c r="N334" s="38"/>
      <c r="O334" s="38"/>
      <c r="P334" s="38"/>
      <c r="Q334" s="39">
        <v>23</v>
      </c>
      <c r="R334" s="40">
        <v>23</v>
      </c>
      <c r="S334" s="41">
        <v>1</v>
      </c>
      <c r="T334">
        <f t="shared" si="66"/>
        <v>1</v>
      </c>
      <c r="U334" s="1">
        <f t="shared" si="67"/>
        <v>70</v>
      </c>
      <c r="V334" s="42">
        <f t="shared" si="68"/>
        <v>30</v>
      </c>
      <c r="W334" s="43">
        <f t="shared" si="69"/>
        <v>100</v>
      </c>
      <c r="Y334" s="62" t="s">
        <v>55</v>
      </c>
      <c r="Z334" s="1" t="s">
        <v>56</v>
      </c>
      <c r="AA334" s="63">
        <v>0.1</v>
      </c>
    </row>
    <row r="335" spans="2:27" ht="17.25" customHeight="1" x14ac:dyDescent="0.3">
      <c r="B335" s="30">
        <v>12</v>
      </c>
      <c r="C335" s="31" t="s">
        <v>64</v>
      </c>
      <c r="D335" s="31" t="s">
        <v>65</v>
      </c>
      <c r="E335" s="32">
        <v>0.67</v>
      </c>
      <c r="F335" s="33">
        <v>0.27</v>
      </c>
      <c r="G335" s="33">
        <f t="shared" si="65"/>
        <v>0.94000000000000006</v>
      </c>
      <c r="H335" s="34" t="s">
        <v>82</v>
      </c>
      <c r="I335" s="35">
        <v>1</v>
      </c>
      <c r="J335" s="36">
        <v>437100</v>
      </c>
      <c r="K335" s="37">
        <f t="shared" si="64"/>
        <v>437100</v>
      </c>
      <c r="L335" s="38"/>
      <c r="M335" s="38"/>
      <c r="N335" s="38"/>
      <c r="O335" s="38"/>
      <c r="P335" s="38"/>
      <c r="Q335" s="39">
        <v>23</v>
      </c>
      <c r="R335" s="40">
        <v>8</v>
      </c>
      <c r="S335" s="41">
        <v>0.84</v>
      </c>
      <c r="T335">
        <f t="shared" si="66"/>
        <v>0.34782608695652173</v>
      </c>
      <c r="U335" s="1">
        <f t="shared" si="67"/>
        <v>58.8</v>
      </c>
      <c r="V335" s="42">
        <f t="shared" si="68"/>
        <v>10.434782608695652</v>
      </c>
      <c r="W335" s="43">
        <f t="shared" si="69"/>
        <v>69.234782608695653</v>
      </c>
      <c r="Y335" s="12"/>
    </row>
    <row r="336" spans="2:27" ht="17.25" customHeight="1" x14ac:dyDescent="0.3">
      <c r="B336" s="30">
        <v>13</v>
      </c>
      <c r="C336" s="31" t="s">
        <v>66</v>
      </c>
      <c r="D336" s="31" t="s">
        <v>67</v>
      </c>
      <c r="E336" s="32">
        <v>0.57999999999999996</v>
      </c>
      <c r="F336" s="33">
        <v>0.23</v>
      </c>
      <c r="G336" s="33">
        <f t="shared" si="65"/>
        <v>0.80999999999999994</v>
      </c>
      <c r="H336" s="87" t="s">
        <v>32</v>
      </c>
      <c r="I336" s="35">
        <v>0.9</v>
      </c>
      <c r="J336" s="36">
        <v>437100</v>
      </c>
      <c r="K336" s="37">
        <f t="shared" si="64"/>
        <v>393390</v>
      </c>
      <c r="L336" s="38"/>
      <c r="M336" s="38"/>
      <c r="N336" s="38"/>
      <c r="O336" s="38"/>
      <c r="P336" s="38"/>
      <c r="Q336" s="39">
        <v>23</v>
      </c>
      <c r="R336" s="40">
        <v>23</v>
      </c>
      <c r="S336" s="41">
        <v>0.72</v>
      </c>
      <c r="T336">
        <f t="shared" si="66"/>
        <v>1</v>
      </c>
      <c r="U336" s="1">
        <f t="shared" si="67"/>
        <v>50.4</v>
      </c>
      <c r="V336" s="42">
        <f t="shared" si="68"/>
        <v>30</v>
      </c>
      <c r="W336" s="43">
        <f t="shared" si="69"/>
        <v>80.400000000000006</v>
      </c>
    </row>
    <row r="337" spans="2:29" ht="17.25" customHeight="1" x14ac:dyDescent="0.3">
      <c r="B337" s="30">
        <v>14</v>
      </c>
      <c r="C337" s="31" t="s">
        <v>68</v>
      </c>
      <c r="D337" s="31" t="s">
        <v>69</v>
      </c>
      <c r="E337" s="32">
        <v>0.7</v>
      </c>
      <c r="F337" s="33">
        <v>0.3</v>
      </c>
      <c r="G337" s="33">
        <f t="shared" si="65"/>
        <v>1</v>
      </c>
      <c r="H337" s="34" t="s">
        <v>82</v>
      </c>
      <c r="I337" s="35">
        <v>1</v>
      </c>
      <c r="J337" s="36">
        <v>437100</v>
      </c>
      <c r="K337" s="37">
        <f t="shared" si="64"/>
        <v>437100</v>
      </c>
      <c r="L337" s="38"/>
      <c r="M337" s="38"/>
      <c r="N337" s="38"/>
      <c r="O337" s="38"/>
      <c r="P337" s="38"/>
      <c r="Q337" s="39">
        <v>23</v>
      </c>
      <c r="R337" s="40">
        <v>23</v>
      </c>
      <c r="S337" s="41">
        <v>0.81</v>
      </c>
      <c r="T337">
        <f t="shared" si="66"/>
        <v>1</v>
      </c>
      <c r="U337" s="1">
        <f t="shared" si="67"/>
        <v>56.7</v>
      </c>
      <c r="V337" s="42">
        <f t="shared" si="68"/>
        <v>30</v>
      </c>
      <c r="W337" s="43">
        <f t="shared" si="69"/>
        <v>86.7</v>
      </c>
    </row>
    <row r="338" spans="2:29" ht="17.25" customHeight="1" x14ac:dyDescent="0.3">
      <c r="B338" s="217"/>
      <c r="C338" s="218"/>
      <c r="D338" s="218"/>
      <c r="E338" s="218"/>
      <c r="F338" s="218"/>
      <c r="G338" s="219"/>
      <c r="H338" s="15"/>
      <c r="I338" s="15"/>
      <c r="J338" s="104">
        <f>SUM(J324:J337)</f>
        <v>6591440</v>
      </c>
      <c r="K338" s="104">
        <f>SUM(K324:K337)</f>
        <v>5363196</v>
      </c>
      <c r="L338" s="105"/>
      <c r="M338" s="105"/>
      <c r="N338" s="38"/>
      <c r="O338" s="38"/>
      <c r="P338" s="38"/>
      <c r="Q338" s="39">
        <v>23</v>
      </c>
      <c r="R338" s="40">
        <v>21</v>
      </c>
      <c r="S338" s="41">
        <v>0.96</v>
      </c>
      <c r="T338">
        <f t="shared" si="66"/>
        <v>0.91304347826086951</v>
      </c>
      <c r="U338" s="1">
        <f t="shared" si="67"/>
        <v>67.2</v>
      </c>
      <c r="V338" s="42">
        <f t="shared" si="68"/>
        <v>27.391304347826086</v>
      </c>
      <c r="W338" s="43">
        <f t="shared" si="69"/>
        <v>94.591304347826082</v>
      </c>
    </row>
    <row r="339" spans="2:29" ht="17.25" customHeight="1" x14ac:dyDescent="0.3">
      <c r="B339" s="7"/>
      <c r="C339" s="8"/>
      <c r="D339" s="8"/>
      <c r="E339" s="8"/>
      <c r="F339" s="8"/>
      <c r="G339" s="100"/>
      <c r="H339" s="9"/>
      <c r="I339" s="9"/>
      <c r="J339" s="10"/>
      <c r="K339" s="8"/>
      <c r="L339" s="8"/>
      <c r="M339" s="8"/>
      <c r="N339" s="38"/>
      <c r="O339" s="38"/>
      <c r="P339" s="38"/>
      <c r="Q339" s="39">
        <v>23</v>
      </c>
      <c r="R339" s="40">
        <v>18</v>
      </c>
      <c r="S339" s="41">
        <v>0.83</v>
      </c>
      <c r="T339">
        <f t="shared" si="66"/>
        <v>0.78260869565217395</v>
      </c>
      <c r="U339" s="1">
        <f t="shared" si="67"/>
        <v>58.099999999999994</v>
      </c>
      <c r="V339" s="42">
        <f t="shared" si="68"/>
        <v>23.478260869565219</v>
      </c>
      <c r="W339" s="43">
        <f t="shared" si="69"/>
        <v>81.578260869565213</v>
      </c>
    </row>
    <row r="340" spans="2:29" ht="17.25" customHeight="1" x14ac:dyDescent="0.3">
      <c r="B340" s="7"/>
      <c r="C340" s="8"/>
      <c r="D340" s="8"/>
      <c r="E340" s="98"/>
      <c r="F340" s="99"/>
      <c r="G340" s="100"/>
      <c r="H340" s="9"/>
      <c r="I340" s="213" t="s">
        <v>86</v>
      </c>
      <c r="J340" s="213"/>
      <c r="K340" s="8"/>
      <c r="L340" s="8"/>
      <c r="M340" s="8"/>
      <c r="N340" s="38"/>
      <c r="O340" s="38"/>
      <c r="P340" s="38"/>
      <c r="Q340" s="39">
        <v>23</v>
      </c>
      <c r="R340" s="40">
        <v>23</v>
      </c>
      <c r="S340" s="41">
        <v>1</v>
      </c>
      <c r="T340">
        <f t="shared" si="66"/>
        <v>1</v>
      </c>
      <c r="U340" s="1">
        <f t="shared" si="67"/>
        <v>70</v>
      </c>
      <c r="V340" s="42">
        <f t="shared" si="68"/>
        <v>30</v>
      </c>
      <c r="W340" s="43">
        <f t="shared" si="69"/>
        <v>100</v>
      </c>
    </row>
    <row r="341" spans="2:29" s="109" customFormat="1" ht="21" customHeight="1" x14ac:dyDescent="0.3">
      <c r="B341" s="7"/>
      <c r="C341" s="8"/>
      <c r="D341" s="8"/>
      <c r="E341" s="98"/>
      <c r="F341" s="99"/>
      <c r="G341" s="8"/>
      <c r="H341" s="9"/>
      <c r="I341" s="213" t="s">
        <v>87</v>
      </c>
      <c r="J341" s="213"/>
      <c r="K341" s="8"/>
      <c r="L341" s="8"/>
      <c r="M341" s="8"/>
      <c r="N341" s="105"/>
      <c r="O341" s="105"/>
      <c r="P341" s="105"/>
      <c r="Q341" s="106"/>
      <c r="R341" s="107"/>
      <c r="S341" s="1"/>
      <c r="T341" s="1"/>
      <c r="U341" s="1"/>
      <c r="V341" s="1"/>
      <c r="W341" s="108"/>
    </row>
    <row r="342" spans="2:29" ht="12" customHeight="1" x14ac:dyDescent="0.3">
      <c r="B342" s="7"/>
      <c r="C342" s="8"/>
      <c r="D342" s="8"/>
      <c r="E342" s="98"/>
      <c r="F342" s="99"/>
      <c r="G342" s="8"/>
      <c r="H342" s="9"/>
      <c r="I342" s="9"/>
      <c r="J342" s="10"/>
      <c r="K342" s="8"/>
      <c r="L342" s="8"/>
      <c r="M342" s="8"/>
      <c r="N342" s="8"/>
      <c r="O342" s="8"/>
      <c r="P342" s="8"/>
      <c r="Q342" s="11"/>
    </row>
    <row r="343" spans="2:29" ht="15.6" x14ac:dyDescent="0.3">
      <c r="B343" s="7"/>
      <c r="C343" s="8"/>
      <c r="D343" s="8"/>
      <c r="E343" s="98"/>
      <c r="F343" s="99"/>
      <c r="G343" s="8"/>
      <c r="H343" s="9"/>
      <c r="I343" s="9"/>
      <c r="J343" s="10"/>
      <c r="K343" s="8"/>
      <c r="L343" s="8"/>
      <c r="M343" s="8"/>
      <c r="N343" s="8"/>
      <c r="O343" s="8"/>
      <c r="P343" s="8"/>
      <c r="Q343" s="11"/>
    </row>
    <row r="344" spans="2:29" ht="15.6" x14ac:dyDescent="0.3">
      <c r="B344" s="7"/>
      <c r="C344" s="8"/>
      <c r="D344" s="8"/>
      <c r="E344" s="77"/>
      <c r="F344" s="99"/>
      <c r="G344" s="8"/>
      <c r="H344" s="9"/>
      <c r="I344" s="9"/>
      <c r="J344" s="10"/>
      <c r="K344" s="8"/>
      <c r="L344" s="8"/>
      <c r="M344" s="8"/>
      <c r="N344" s="8"/>
      <c r="O344" s="8"/>
      <c r="P344" s="8"/>
      <c r="Q344" s="11"/>
      <c r="AC344" s="63"/>
    </row>
    <row r="345" spans="2:29" ht="15.6" x14ac:dyDescent="0.3">
      <c r="B345" s="7"/>
      <c r="C345" s="8"/>
      <c r="D345" s="8"/>
      <c r="E345" s="98"/>
      <c r="F345" s="99"/>
      <c r="G345" s="8"/>
      <c r="H345" s="9"/>
      <c r="I345" s="214" t="s">
        <v>71</v>
      </c>
      <c r="J345" s="214"/>
      <c r="K345" s="8"/>
      <c r="L345" s="8"/>
      <c r="M345" s="8"/>
      <c r="N345" s="8"/>
      <c r="O345" s="8"/>
      <c r="P345" s="8"/>
      <c r="Q345" s="11"/>
    </row>
    <row r="346" spans="2:29" ht="15.6" x14ac:dyDescent="0.3">
      <c r="E346" s="98"/>
      <c r="F346" s="110"/>
      <c r="N346" s="8"/>
      <c r="O346" s="8"/>
      <c r="P346" s="8"/>
      <c r="Q346" s="11"/>
    </row>
    <row r="347" spans="2:29" ht="15.6" x14ac:dyDescent="0.3">
      <c r="E347" s="98"/>
      <c r="F347" s="110"/>
      <c r="N347" s="8"/>
      <c r="O347" s="8"/>
      <c r="P347" s="8"/>
      <c r="Q347" s="11"/>
    </row>
    <row r="348" spans="2:29" ht="15.6" x14ac:dyDescent="0.3">
      <c r="E348" s="98"/>
      <c r="F348" s="110"/>
      <c r="N348" s="8"/>
      <c r="O348" s="8"/>
      <c r="P348" s="8"/>
      <c r="Q348" s="11"/>
    </row>
    <row r="349" spans="2:29" ht="15.6" x14ac:dyDescent="0.25">
      <c r="E349" s="98"/>
      <c r="F349" s="110"/>
    </row>
    <row r="350" spans="2:29" ht="15.6" x14ac:dyDescent="0.25">
      <c r="E350" s="98"/>
      <c r="F350" s="110"/>
    </row>
    <row r="351" spans="2:29" ht="15.6" x14ac:dyDescent="0.25">
      <c r="E351" s="98"/>
      <c r="F351" s="110"/>
    </row>
    <row r="352" spans="2:29" ht="15.6" x14ac:dyDescent="0.25">
      <c r="E352" s="98"/>
      <c r="F352" s="110"/>
    </row>
    <row r="353" spans="2:20" ht="15.6" x14ac:dyDescent="0.25">
      <c r="E353" s="98"/>
      <c r="F353" s="110"/>
    </row>
    <row r="363" spans="2:20" ht="15.6" x14ac:dyDescent="0.3">
      <c r="B363" s="212" t="s">
        <v>0</v>
      </c>
      <c r="C363" s="212"/>
      <c r="D363" s="212"/>
      <c r="E363" s="212"/>
      <c r="F363" s="212"/>
      <c r="G363" s="212"/>
      <c r="H363" s="212"/>
      <c r="I363" s="212"/>
      <c r="J363" s="212"/>
      <c r="K363" s="212"/>
      <c r="L363" s="2"/>
      <c r="M363" s="2"/>
    </row>
    <row r="364" spans="2:20" ht="15.6" x14ac:dyDescent="0.3">
      <c r="B364" s="212" t="s">
        <v>89</v>
      </c>
      <c r="C364" s="212"/>
      <c r="D364" s="212"/>
      <c r="E364" s="212"/>
      <c r="F364" s="212"/>
      <c r="G364" s="212"/>
      <c r="H364" s="212"/>
      <c r="I364" s="212"/>
      <c r="J364" s="212"/>
      <c r="K364" s="212"/>
      <c r="L364" s="2"/>
      <c r="M364" s="2"/>
    </row>
    <row r="365" spans="2:20" ht="15.6" x14ac:dyDescent="0.3">
      <c r="B365" s="7"/>
      <c r="C365" s="8"/>
      <c r="D365" s="8"/>
      <c r="E365" s="8"/>
      <c r="F365" s="8"/>
      <c r="G365" s="8"/>
      <c r="H365" s="9"/>
      <c r="I365" s="9"/>
      <c r="J365" s="10"/>
      <c r="K365" s="8"/>
      <c r="L365" s="8"/>
      <c r="M365" s="8"/>
    </row>
    <row r="366" spans="2:20" ht="93.6" x14ac:dyDescent="0.3">
      <c r="B366" s="14" t="s">
        <v>2</v>
      </c>
      <c r="C366" s="14" t="s">
        <v>3</v>
      </c>
      <c r="D366" s="14" t="s">
        <v>4</v>
      </c>
      <c r="E366" s="15" t="s">
        <v>5</v>
      </c>
      <c r="F366" s="15" t="s">
        <v>6</v>
      </c>
      <c r="G366" s="15" t="s">
        <v>7</v>
      </c>
      <c r="H366" s="15" t="s">
        <v>8</v>
      </c>
      <c r="I366" s="15" t="s">
        <v>9</v>
      </c>
      <c r="J366" s="16" t="s">
        <v>10</v>
      </c>
      <c r="K366" s="15" t="s">
        <v>11</v>
      </c>
      <c r="L366" s="17"/>
      <c r="M366" s="17"/>
      <c r="N366" s="2"/>
      <c r="O366" s="2"/>
      <c r="P366" s="2"/>
      <c r="Q366" s="3"/>
      <c r="R366" s="4"/>
      <c r="S366" s="5"/>
      <c r="T366" s="5"/>
    </row>
    <row r="367" spans="2:20" ht="15.6" x14ac:dyDescent="0.3">
      <c r="B367" s="23" t="s">
        <v>17</v>
      </c>
      <c r="C367" s="23" t="s">
        <v>18</v>
      </c>
      <c r="D367" s="23" t="s">
        <v>19</v>
      </c>
      <c r="E367" s="23" t="s">
        <v>20</v>
      </c>
      <c r="F367" s="23" t="s">
        <v>21</v>
      </c>
      <c r="G367" s="23" t="s">
        <v>22</v>
      </c>
      <c r="H367" s="24" t="s">
        <v>23</v>
      </c>
      <c r="I367" s="24" t="s">
        <v>24</v>
      </c>
      <c r="J367" s="25" t="s">
        <v>25</v>
      </c>
      <c r="K367" s="24" t="s">
        <v>26</v>
      </c>
      <c r="L367" s="26"/>
      <c r="M367" s="26"/>
      <c r="N367" s="2"/>
      <c r="O367" s="2"/>
      <c r="P367" s="2"/>
      <c r="Q367" s="3"/>
      <c r="R367" s="4"/>
      <c r="S367" s="5"/>
      <c r="T367" s="5"/>
    </row>
    <row r="368" spans="2:20" ht="12" customHeight="1" x14ac:dyDescent="0.3">
      <c r="B368" s="30">
        <v>1</v>
      </c>
      <c r="C368" s="31" t="s">
        <v>27</v>
      </c>
      <c r="D368" s="31" t="s">
        <v>28</v>
      </c>
      <c r="E368" s="32">
        <v>0.66</v>
      </c>
      <c r="F368" s="33">
        <v>0.3</v>
      </c>
      <c r="G368" s="33">
        <f>E368+F368</f>
        <v>0.96</v>
      </c>
      <c r="H368" s="34" t="s">
        <v>82</v>
      </c>
      <c r="I368" s="35">
        <v>1</v>
      </c>
      <c r="J368" s="36">
        <v>581340</v>
      </c>
      <c r="K368" s="37">
        <f t="shared" ref="K368:K381" si="70">I368*J368</f>
        <v>581340</v>
      </c>
      <c r="L368" s="38"/>
      <c r="M368" s="38"/>
      <c r="N368" s="8"/>
      <c r="O368" s="8"/>
      <c r="P368" s="8"/>
      <c r="Q368" s="11"/>
    </row>
    <row r="369" spans="2:27" s="13" customFormat="1" ht="95.25" customHeight="1" x14ac:dyDescent="0.3">
      <c r="B369" s="30">
        <v>2</v>
      </c>
      <c r="C369" s="31" t="s">
        <v>30</v>
      </c>
      <c r="D369" s="31" t="s">
        <v>31</v>
      </c>
      <c r="E369" s="32">
        <v>0.63</v>
      </c>
      <c r="F369" s="33">
        <v>0.28999999999999998</v>
      </c>
      <c r="G369" s="33">
        <f t="shared" ref="G369:G381" si="71">E369+F369</f>
        <v>0.91999999999999993</v>
      </c>
      <c r="H369" s="34" t="s">
        <v>82</v>
      </c>
      <c r="I369" s="35">
        <v>1</v>
      </c>
      <c r="J369" s="36">
        <v>502660</v>
      </c>
      <c r="K369" s="37">
        <f t="shared" si="70"/>
        <v>502660</v>
      </c>
      <c r="L369" s="38"/>
      <c r="M369" s="38"/>
      <c r="N369" s="17"/>
      <c r="O369" s="17"/>
      <c r="P369" s="17"/>
      <c r="Q369" s="94"/>
      <c r="R369" s="18"/>
      <c r="S369" s="19" t="s">
        <v>12</v>
      </c>
      <c r="T369" s="19" t="s">
        <v>13</v>
      </c>
      <c r="U369" s="20" t="s">
        <v>14</v>
      </c>
      <c r="V369" s="21" t="s">
        <v>15</v>
      </c>
      <c r="W369" s="20" t="s">
        <v>16</v>
      </c>
    </row>
    <row r="370" spans="2:27" s="22" customFormat="1" ht="15" customHeight="1" x14ac:dyDescent="0.3">
      <c r="B370" s="30">
        <v>3</v>
      </c>
      <c r="C370" s="31" t="s">
        <v>33</v>
      </c>
      <c r="D370" s="31" t="s">
        <v>34</v>
      </c>
      <c r="E370" s="32">
        <v>0.64</v>
      </c>
      <c r="F370" s="33">
        <v>0.3</v>
      </c>
      <c r="G370" s="33">
        <f t="shared" si="71"/>
        <v>0.94</v>
      </c>
      <c r="H370" s="34" t="s">
        <v>82</v>
      </c>
      <c r="I370" s="35">
        <v>1</v>
      </c>
      <c r="J370" s="36">
        <v>502660</v>
      </c>
      <c r="K370" s="37">
        <f t="shared" si="70"/>
        <v>502660</v>
      </c>
      <c r="L370" s="38"/>
      <c r="M370" s="38"/>
      <c r="N370" s="26"/>
      <c r="O370" s="26"/>
      <c r="P370" s="26"/>
      <c r="Q370" s="27"/>
      <c r="R370" s="28"/>
      <c r="S370" s="29"/>
      <c r="T370" s="29"/>
    </row>
    <row r="371" spans="2:27" ht="17.25" customHeight="1" x14ac:dyDescent="0.3">
      <c r="B371" s="44">
        <v>4</v>
      </c>
      <c r="C371" s="34" t="s">
        <v>39</v>
      </c>
      <c r="D371" s="34" t="s">
        <v>40</v>
      </c>
      <c r="E371" s="32">
        <v>0.64</v>
      </c>
      <c r="F371" s="46">
        <v>0.25</v>
      </c>
      <c r="G371" s="33">
        <f t="shared" si="71"/>
        <v>0.89</v>
      </c>
      <c r="H371" s="34" t="s">
        <v>32</v>
      </c>
      <c r="I371" s="35">
        <v>0.9</v>
      </c>
      <c r="J371" s="48">
        <v>502660</v>
      </c>
      <c r="K371" s="111">
        <f t="shared" si="70"/>
        <v>452394</v>
      </c>
      <c r="L371" s="113"/>
      <c r="M371" s="113"/>
      <c r="N371" s="38"/>
      <c r="O371" s="38"/>
      <c r="P371" s="38"/>
      <c r="Q371" s="39"/>
      <c r="R371" s="40"/>
      <c r="S371" s="41">
        <v>0.95</v>
      </c>
      <c r="T371">
        <v>100</v>
      </c>
      <c r="U371" s="1">
        <f>S371*70</f>
        <v>66.5</v>
      </c>
      <c r="V371" s="1">
        <f>T371*30</f>
        <v>3000</v>
      </c>
      <c r="W371" s="43"/>
    </row>
    <row r="372" spans="2:27" ht="17.25" customHeight="1" x14ac:dyDescent="0.3">
      <c r="B372" s="55">
        <v>5</v>
      </c>
      <c r="C372" s="56" t="s">
        <v>42</v>
      </c>
      <c r="D372" s="56" t="s">
        <v>43</v>
      </c>
      <c r="E372" s="45">
        <v>0</v>
      </c>
      <c r="F372" s="46">
        <v>0.3</v>
      </c>
      <c r="G372" s="46">
        <f t="shared" si="71"/>
        <v>0.3</v>
      </c>
      <c r="H372" s="34" t="s">
        <v>44</v>
      </c>
      <c r="I372" s="47">
        <v>0.1</v>
      </c>
      <c r="J372" s="48">
        <v>502660</v>
      </c>
      <c r="K372" s="112">
        <f t="shared" si="70"/>
        <v>50266</v>
      </c>
      <c r="L372" s="115"/>
      <c r="M372" s="115"/>
      <c r="N372" s="38"/>
      <c r="O372" s="38"/>
      <c r="P372" s="38"/>
      <c r="Q372" s="39"/>
      <c r="R372" s="40"/>
      <c r="S372" s="41">
        <v>0.91</v>
      </c>
      <c r="T372">
        <v>97</v>
      </c>
      <c r="U372" s="1">
        <f t="shared" ref="U372:U384" si="72">S372*70</f>
        <v>63.7</v>
      </c>
      <c r="V372" s="1">
        <f t="shared" ref="V372:V384" si="73">T372*30</f>
        <v>2910</v>
      </c>
      <c r="W372" s="43"/>
    </row>
    <row r="373" spans="2:27" ht="17.25" customHeight="1" x14ac:dyDescent="0.3">
      <c r="B373" s="30">
        <v>6</v>
      </c>
      <c r="C373" s="31" t="s">
        <v>46</v>
      </c>
      <c r="D373" s="31" t="s">
        <v>47</v>
      </c>
      <c r="E373" s="32">
        <v>0.35</v>
      </c>
      <c r="F373" s="33">
        <v>0.21</v>
      </c>
      <c r="G373" s="33">
        <f t="shared" si="71"/>
        <v>0.55999999999999994</v>
      </c>
      <c r="H373" s="87" t="s">
        <v>44</v>
      </c>
      <c r="I373" s="35">
        <v>0.1</v>
      </c>
      <c r="J373" s="36">
        <v>502660</v>
      </c>
      <c r="K373" s="37">
        <f t="shared" si="70"/>
        <v>50266</v>
      </c>
      <c r="L373" s="38"/>
      <c r="M373" s="38"/>
      <c r="N373" s="38"/>
      <c r="O373" s="38"/>
      <c r="P373" s="38"/>
      <c r="Q373" s="39"/>
      <c r="R373" s="40"/>
      <c r="S373" s="41">
        <v>0.92</v>
      </c>
      <c r="T373">
        <v>100</v>
      </c>
      <c r="U373" s="1">
        <f t="shared" si="72"/>
        <v>64.400000000000006</v>
      </c>
      <c r="V373" s="1">
        <f t="shared" si="73"/>
        <v>3000</v>
      </c>
      <c r="W373" s="43"/>
      <c r="Y373" s="102" t="s">
        <v>36</v>
      </c>
      <c r="Z373" s="103" t="s">
        <v>37</v>
      </c>
      <c r="AA373" s="103" t="s">
        <v>38</v>
      </c>
    </row>
    <row r="374" spans="2:27" s="50" customFormat="1" ht="17.25" customHeight="1" x14ac:dyDescent="0.3">
      <c r="B374" s="30">
        <v>7</v>
      </c>
      <c r="C374" s="31" t="s">
        <v>49</v>
      </c>
      <c r="D374" s="31" t="s">
        <v>50</v>
      </c>
      <c r="E374" s="32">
        <v>0.57999999999999996</v>
      </c>
      <c r="F374" s="33">
        <v>0.11</v>
      </c>
      <c r="G374" s="33">
        <f t="shared" si="71"/>
        <v>0.69</v>
      </c>
      <c r="H374" s="87" t="s">
        <v>52</v>
      </c>
      <c r="I374" s="35">
        <v>0.4</v>
      </c>
      <c r="J374" s="36">
        <v>437100</v>
      </c>
      <c r="K374" s="37">
        <f t="shared" si="70"/>
        <v>174840</v>
      </c>
      <c r="L374" s="38"/>
      <c r="M374" s="38"/>
      <c r="N374" s="113"/>
      <c r="O374" s="113"/>
      <c r="P374" s="113"/>
      <c r="Q374" s="114"/>
      <c r="R374" s="51"/>
      <c r="S374" s="70">
        <v>0.92</v>
      </c>
      <c r="T374">
        <v>78</v>
      </c>
      <c r="U374" s="1">
        <f>S374*70</f>
        <v>64.400000000000006</v>
      </c>
      <c r="V374" s="1">
        <f t="shared" si="73"/>
        <v>2340</v>
      </c>
      <c r="W374" s="43"/>
      <c r="Y374" s="52" t="s">
        <v>41</v>
      </c>
      <c r="Z374" s="50" t="s">
        <v>29</v>
      </c>
      <c r="AA374" s="53">
        <v>1</v>
      </c>
    </row>
    <row r="375" spans="2:27" s="54" customFormat="1" ht="17.25" customHeight="1" x14ac:dyDescent="0.3">
      <c r="B375" s="30">
        <v>8</v>
      </c>
      <c r="C375" s="31" t="s">
        <v>53</v>
      </c>
      <c r="D375" s="31" t="s">
        <v>54</v>
      </c>
      <c r="E375" s="32">
        <v>0.7</v>
      </c>
      <c r="F375" s="33">
        <v>0.3</v>
      </c>
      <c r="G375" s="33">
        <f t="shared" si="71"/>
        <v>1</v>
      </c>
      <c r="H375" s="34" t="s">
        <v>82</v>
      </c>
      <c r="I375" s="35">
        <v>1</v>
      </c>
      <c r="J375" s="36">
        <v>437100</v>
      </c>
      <c r="K375" s="37">
        <f t="shared" si="70"/>
        <v>437100</v>
      </c>
      <c r="L375" s="38"/>
      <c r="M375" s="38"/>
      <c r="N375" s="115"/>
      <c r="O375" s="115"/>
      <c r="P375" s="115"/>
      <c r="Q375" s="116"/>
      <c r="R375" s="57"/>
      <c r="S375" s="58">
        <v>0</v>
      </c>
      <c r="T375">
        <v>100</v>
      </c>
      <c r="U375" s="50">
        <f t="shared" si="72"/>
        <v>0</v>
      </c>
      <c r="V375" s="1">
        <f t="shared" si="73"/>
        <v>3000</v>
      </c>
      <c r="W375" s="117"/>
      <c r="Y375" s="59" t="s">
        <v>45</v>
      </c>
      <c r="Z375" s="54" t="s">
        <v>32</v>
      </c>
      <c r="AA375" s="60">
        <v>0.9</v>
      </c>
    </row>
    <row r="376" spans="2:27" ht="17.25" customHeight="1" x14ac:dyDescent="0.3">
      <c r="B376" s="30">
        <v>9</v>
      </c>
      <c r="C376" s="31" t="s">
        <v>58</v>
      </c>
      <c r="D376" s="31" t="s">
        <v>59</v>
      </c>
      <c r="E376" s="32">
        <v>0.65</v>
      </c>
      <c r="F376" s="33">
        <v>0.08</v>
      </c>
      <c r="G376" s="33">
        <f t="shared" si="71"/>
        <v>0.73</v>
      </c>
      <c r="H376" s="34" t="s">
        <v>35</v>
      </c>
      <c r="I376" s="35">
        <v>0.7</v>
      </c>
      <c r="J376" s="36">
        <v>437100</v>
      </c>
      <c r="K376" s="37">
        <f t="shared" si="70"/>
        <v>305970</v>
      </c>
      <c r="L376" s="38"/>
      <c r="M376" s="38"/>
      <c r="N376" s="38"/>
      <c r="O376" s="38"/>
      <c r="P376" s="38"/>
      <c r="Q376" s="39"/>
      <c r="R376" s="40"/>
      <c r="S376" s="61">
        <v>0.5</v>
      </c>
      <c r="T376">
        <v>69</v>
      </c>
      <c r="U376" s="1">
        <f t="shared" si="72"/>
        <v>35</v>
      </c>
      <c r="V376" s="1">
        <f t="shared" si="73"/>
        <v>2070</v>
      </c>
      <c r="W376" s="43"/>
      <c r="Y376" s="62" t="s">
        <v>48</v>
      </c>
      <c r="Z376" s="1" t="s">
        <v>35</v>
      </c>
      <c r="AA376" s="63">
        <v>0.7</v>
      </c>
    </row>
    <row r="377" spans="2:27" ht="17.25" customHeight="1" x14ac:dyDescent="0.3">
      <c r="B377" s="30">
        <v>10</v>
      </c>
      <c r="C377" s="31" t="s">
        <v>60</v>
      </c>
      <c r="D377" s="31" t="s">
        <v>61</v>
      </c>
      <c r="E377" s="32">
        <v>0.7</v>
      </c>
      <c r="F377" s="33">
        <v>0.3</v>
      </c>
      <c r="G377" s="33">
        <f t="shared" si="71"/>
        <v>1</v>
      </c>
      <c r="H377" s="34" t="s">
        <v>82</v>
      </c>
      <c r="I377" s="35">
        <v>1</v>
      </c>
      <c r="J377" s="36">
        <v>437100</v>
      </c>
      <c r="K377" s="37">
        <f t="shared" si="70"/>
        <v>437100</v>
      </c>
      <c r="L377" s="38"/>
      <c r="M377" s="38"/>
      <c r="N377" s="38"/>
      <c r="O377" s="38"/>
      <c r="P377" s="38"/>
      <c r="Q377" s="39"/>
      <c r="R377" s="40"/>
      <c r="S377" s="41">
        <v>0.83</v>
      </c>
      <c r="T377">
        <v>37</v>
      </c>
      <c r="U377" s="1">
        <f t="shared" si="72"/>
        <v>58.099999999999994</v>
      </c>
      <c r="V377" s="1">
        <f t="shared" si="73"/>
        <v>1110</v>
      </c>
      <c r="W377" s="43"/>
      <c r="Y377" s="62" t="s">
        <v>51</v>
      </c>
      <c r="Z377" s="1" t="s">
        <v>52</v>
      </c>
      <c r="AA377" s="63">
        <v>0.4</v>
      </c>
    </row>
    <row r="378" spans="2:27" ht="17.25" customHeight="1" x14ac:dyDescent="0.3">
      <c r="B378" s="30">
        <v>11</v>
      </c>
      <c r="C378" s="31" t="s">
        <v>62</v>
      </c>
      <c r="D378" s="31" t="s">
        <v>63</v>
      </c>
      <c r="E378" s="32">
        <v>0.56999999999999995</v>
      </c>
      <c r="F378" s="33">
        <v>0.3</v>
      </c>
      <c r="G378" s="33">
        <f t="shared" si="71"/>
        <v>0.86999999999999988</v>
      </c>
      <c r="H378" s="87" t="s">
        <v>32</v>
      </c>
      <c r="I378" s="35">
        <v>0.9</v>
      </c>
      <c r="J378" s="36">
        <v>437100</v>
      </c>
      <c r="K378" s="37">
        <f t="shared" si="70"/>
        <v>393390</v>
      </c>
      <c r="L378" s="38"/>
      <c r="M378" s="38"/>
      <c r="N378" s="38"/>
      <c r="O378" s="38"/>
      <c r="P378" s="38"/>
      <c r="Q378" s="39"/>
      <c r="R378" s="40"/>
      <c r="S378" s="41">
        <v>1</v>
      </c>
      <c r="T378">
        <v>100</v>
      </c>
      <c r="U378" s="1">
        <f t="shared" si="72"/>
        <v>70</v>
      </c>
      <c r="V378" s="1">
        <f t="shared" si="73"/>
        <v>3000</v>
      </c>
      <c r="W378" s="43"/>
      <c r="Y378" s="62" t="s">
        <v>55</v>
      </c>
      <c r="Z378" s="1" t="s">
        <v>56</v>
      </c>
      <c r="AA378" s="63">
        <v>0.1</v>
      </c>
    </row>
    <row r="379" spans="2:27" ht="17.25" customHeight="1" x14ac:dyDescent="0.3">
      <c r="B379" s="30">
        <v>12</v>
      </c>
      <c r="C379" s="31" t="s">
        <v>64</v>
      </c>
      <c r="D379" s="31" t="s">
        <v>65</v>
      </c>
      <c r="E379" s="32">
        <v>0.65</v>
      </c>
      <c r="F379" s="33">
        <v>0.26</v>
      </c>
      <c r="G379" s="33">
        <f t="shared" si="71"/>
        <v>0.91</v>
      </c>
      <c r="H379" s="34" t="s">
        <v>82</v>
      </c>
      <c r="I379" s="35">
        <v>1</v>
      </c>
      <c r="J379" s="36">
        <v>437100</v>
      </c>
      <c r="K379" s="37">
        <f t="shared" si="70"/>
        <v>437100</v>
      </c>
      <c r="L379" s="38"/>
      <c r="M379" s="38"/>
      <c r="N379" s="38"/>
      <c r="O379" s="38"/>
      <c r="P379" s="38"/>
      <c r="Q379" s="39"/>
      <c r="R379" s="40"/>
      <c r="S379" s="41">
        <v>0.93</v>
      </c>
      <c r="T379">
        <v>25</v>
      </c>
      <c r="U379" s="1">
        <f t="shared" si="72"/>
        <v>65.100000000000009</v>
      </c>
      <c r="V379" s="1">
        <f t="shared" si="73"/>
        <v>750</v>
      </c>
      <c r="W379" s="43"/>
      <c r="Y379" s="12"/>
    </row>
    <row r="380" spans="2:27" ht="17.25" customHeight="1" x14ac:dyDescent="0.3">
      <c r="B380" s="30">
        <v>13</v>
      </c>
      <c r="C380" s="31" t="s">
        <v>66</v>
      </c>
      <c r="D380" s="31" t="s">
        <v>67</v>
      </c>
      <c r="E380" s="32">
        <v>0.52</v>
      </c>
      <c r="F380" s="33">
        <v>0.17</v>
      </c>
      <c r="G380" s="33">
        <f t="shared" si="71"/>
        <v>0.69000000000000006</v>
      </c>
      <c r="H380" s="34" t="s">
        <v>52</v>
      </c>
      <c r="I380" s="35">
        <v>0.4</v>
      </c>
      <c r="J380" s="36">
        <v>437100</v>
      </c>
      <c r="K380" s="37">
        <f t="shared" si="70"/>
        <v>174840</v>
      </c>
      <c r="L380" s="38"/>
      <c r="M380" s="38"/>
      <c r="N380" s="38"/>
      <c r="O380" s="38"/>
      <c r="P380" s="38"/>
      <c r="Q380" s="39"/>
      <c r="R380" s="40"/>
      <c r="S380" s="41">
        <v>1</v>
      </c>
      <c r="T380">
        <v>100</v>
      </c>
      <c r="U380" s="1">
        <f t="shared" si="72"/>
        <v>70</v>
      </c>
      <c r="V380" s="1">
        <f t="shared" si="73"/>
        <v>3000</v>
      </c>
      <c r="W380" s="43"/>
    </row>
    <row r="381" spans="2:27" ht="17.25" customHeight="1" x14ac:dyDescent="0.3">
      <c r="B381" s="30">
        <v>14</v>
      </c>
      <c r="C381" s="31" t="s">
        <v>68</v>
      </c>
      <c r="D381" s="31" t="s">
        <v>69</v>
      </c>
      <c r="E381" s="32">
        <v>0.65</v>
      </c>
      <c r="F381" s="33">
        <v>0.3</v>
      </c>
      <c r="G381" s="33">
        <f t="shared" si="71"/>
        <v>0.95</v>
      </c>
      <c r="H381" s="34" t="s">
        <v>82</v>
      </c>
      <c r="I381" s="35">
        <v>1</v>
      </c>
      <c r="J381" s="36">
        <v>437100</v>
      </c>
      <c r="K381" s="37">
        <f t="shared" si="70"/>
        <v>437100</v>
      </c>
      <c r="L381" s="38"/>
      <c r="M381" s="38"/>
      <c r="N381" s="38"/>
      <c r="O381" s="38"/>
      <c r="P381" s="38"/>
      <c r="Q381" s="39"/>
      <c r="R381" s="40"/>
      <c r="S381" s="41">
        <v>0.82</v>
      </c>
      <c r="T381">
        <v>100</v>
      </c>
      <c r="U381" s="1">
        <f t="shared" si="72"/>
        <v>57.4</v>
      </c>
      <c r="V381" s="1">
        <f t="shared" si="73"/>
        <v>3000</v>
      </c>
      <c r="W381" s="43"/>
    </row>
    <row r="382" spans="2:27" ht="17.25" customHeight="1" x14ac:dyDescent="0.3">
      <c r="B382" s="217"/>
      <c r="C382" s="218"/>
      <c r="D382" s="218"/>
      <c r="E382" s="218"/>
      <c r="F382" s="218"/>
      <c r="G382" s="219"/>
      <c r="H382" s="15"/>
      <c r="I382" s="15"/>
      <c r="J382" s="104">
        <f>SUM(J368:J381)</f>
        <v>6591440</v>
      </c>
      <c r="K382" s="104">
        <f>SUM(K368:K381)</f>
        <v>4937026</v>
      </c>
      <c r="L382" s="105"/>
      <c r="M382" s="105"/>
      <c r="N382" s="38"/>
      <c r="O382" s="38"/>
      <c r="P382" s="38"/>
      <c r="Q382" s="39"/>
      <c r="R382" s="40"/>
      <c r="S382" s="41">
        <v>0.93</v>
      </c>
      <c r="T382">
        <v>87</v>
      </c>
      <c r="U382" s="1">
        <f t="shared" si="72"/>
        <v>65.100000000000009</v>
      </c>
      <c r="V382" s="1">
        <f t="shared" si="73"/>
        <v>2610</v>
      </c>
      <c r="W382" s="43"/>
    </row>
    <row r="383" spans="2:27" ht="17.25" customHeight="1" x14ac:dyDescent="0.3">
      <c r="B383" s="7"/>
      <c r="C383" s="8"/>
      <c r="D383" s="8"/>
      <c r="E383" s="8"/>
      <c r="F383" s="8"/>
      <c r="G383" s="100"/>
      <c r="H383" s="9"/>
      <c r="I383" s="9"/>
      <c r="J383" s="10"/>
      <c r="K383" s="8"/>
      <c r="L383" s="8"/>
      <c r="M383" s="8"/>
      <c r="N383" s="38"/>
      <c r="O383" s="38"/>
      <c r="P383" s="38"/>
      <c r="Q383" s="39"/>
      <c r="R383" s="40"/>
      <c r="S383" s="41">
        <v>0.75</v>
      </c>
      <c r="T383">
        <v>56</v>
      </c>
      <c r="U383" s="1">
        <f t="shared" si="72"/>
        <v>52.5</v>
      </c>
      <c r="V383" s="1">
        <f t="shared" si="73"/>
        <v>1680</v>
      </c>
      <c r="W383" s="43"/>
    </row>
    <row r="384" spans="2:27" ht="17.25" customHeight="1" x14ac:dyDescent="0.3">
      <c r="B384" s="7"/>
      <c r="C384" s="8"/>
      <c r="D384" s="8"/>
      <c r="E384" s="8"/>
      <c r="F384" s="8"/>
      <c r="G384" s="100"/>
      <c r="H384" s="9"/>
      <c r="I384" s="213" t="s">
        <v>86</v>
      </c>
      <c r="J384" s="213"/>
      <c r="K384" s="8"/>
      <c r="L384" s="8"/>
      <c r="M384" s="8"/>
      <c r="N384" s="38"/>
      <c r="O384" s="38"/>
      <c r="P384" s="38"/>
      <c r="Q384" s="39"/>
      <c r="R384" s="40"/>
      <c r="S384" s="41">
        <v>0.93</v>
      </c>
      <c r="T384">
        <v>100</v>
      </c>
      <c r="U384" s="1">
        <f t="shared" si="72"/>
        <v>65.100000000000009</v>
      </c>
      <c r="V384" s="1">
        <f t="shared" si="73"/>
        <v>3000</v>
      </c>
      <c r="W384" s="43"/>
    </row>
    <row r="385" spans="2:29" s="109" customFormat="1" ht="21" customHeight="1" x14ac:dyDescent="0.3">
      <c r="B385" s="7"/>
      <c r="C385" s="8"/>
      <c r="D385" s="8"/>
      <c r="E385" s="100"/>
      <c r="F385" s="8"/>
      <c r="G385" s="8"/>
      <c r="H385" s="9"/>
      <c r="I385" s="213" t="s">
        <v>87</v>
      </c>
      <c r="J385" s="213"/>
      <c r="K385" s="8"/>
      <c r="L385" s="8"/>
      <c r="M385" s="8"/>
      <c r="N385" s="105"/>
      <c r="O385" s="105"/>
      <c r="P385" s="105"/>
      <c r="Q385" s="106"/>
      <c r="R385" s="107"/>
      <c r="S385" s="1"/>
      <c r="T385" s="1"/>
      <c r="U385" s="1"/>
      <c r="V385" s="1"/>
      <c r="W385" s="108"/>
    </row>
    <row r="386" spans="2:29" ht="12" customHeight="1" x14ac:dyDescent="0.3">
      <c r="B386" s="7"/>
      <c r="C386" s="8"/>
      <c r="D386" s="8"/>
      <c r="E386" s="8"/>
      <c r="F386" s="8"/>
      <c r="G386" s="8"/>
      <c r="H386" s="9"/>
      <c r="I386" s="9"/>
      <c r="J386" s="10"/>
      <c r="K386" s="8"/>
      <c r="L386" s="8"/>
      <c r="M386" s="8"/>
      <c r="N386" s="8"/>
      <c r="O386" s="8"/>
      <c r="P386" s="8"/>
      <c r="Q386" s="11"/>
    </row>
    <row r="387" spans="2:29" ht="15.6" x14ac:dyDescent="0.3">
      <c r="B387" s="7"/>
      <c r="C387" s="8"/>
      <c r="D387" s="8"/>
      <c r="E387" s="8"/>
      <c r="F387" s="8"/>
      <c r="G387" s="8"/>
      <c r="H387" s="9"/>
      <c r="I387" s="9"/>
      <c r="J387" s="10"/>
      <c r="K387" s="8"/>
      <c r="L387" s="8"/>
      <c r="M387" s="8"/>
      <c r="N387" s="8"/>
      <c r="O387" s="8"/>
      <c r="P387" s="8"/>
      <c r="Q387" s="11"/>
    </row>
    <row r="388" spans="2:29" ht="15.6" x14ac:dyDescent="0.3">
      <c r="B388" s="7"/>
      <c r="C388" s="8"/>
      <c r="D388" s="8"/>
      <c r="E388" s="8"/>
      <c r="F388" s="8"/>
      <c r="G388" s="8"/>
      <c r="H388" s="9"/>
      <c r="I388" s="9"/>
      <c r="J388" s="10"/>
      <c r="K388" s="8"/>
      <c r="L388" s="8"/>
      <c r="M388" s="8"/>
      <c r="N388" s="8"/>
      <c r="O388" s="8"/>
      <c r="P388" s="8"/>
      <c r="Q388" s="11"/>
      <c r="AC388" s="63"/>
    </row>
    <row r="389" spans="2:29" ht="15.6" x14ac:dyDescent="0.3">
      <c r="B389" s="7"/>
      <c r="C389" s="8"/>
      <c r="D389" s="8"/>
      <c r="E389" s="8"/>
      <c r="F389" s="8"/>
      <c r="G389" s="8"/>
      <c r="H389" s="9"/>
      <c r="I389" s="214" t="s">
        <v>71</v>
      </c>
      <c r="J389" s="214"/>
      <c r="K389" s="8"/>
      <c r="L389" s="8"/>
      <c r="M389" s="8"/>
      <c r="N389" s="8"/>
      <c r="O389" s="8"/>
      <c r="P389" s="8"/>
      <c r="Q389" s="11"/>
    </row>
    <row r="390" spans="2:29" ht="15.6" x14ac:dyDescent="0.3">
      <c r="N390" s="8"/>
      <c r="O390" s="8"/>
      <c r="P390" s="8"/>
      <c r="Q390" s="11"/>
    </row>
    <row r="391" spans="2:29" ht="15.6" x14ac:dyDescent="0.3">
      <c r="N391" s="8"/>
      <c r="O391" s="8"/>
      <c r="P391" s="8"/>
      <c r="Q391" s="11"/>
    </row>
    <row r="392" spans="2:29" ht="15.6" x14ac:dyDescent="0.3">
      <c r="N392" s="8"/>
      <c r="O392" s="8"/>
      <c r="P392" s="8"/>
      <c r="Q392" s="11"/>
    </row>
    <row r="407" spans="2:23" x14ac:dyDescent="0.25">
      <c r="B407" s="215" t="s">
        <v>0</v>
      </c>
      <c r="C407" s="215"/>
      <c r="D407" s="215"/>
      <c r="E407" s="215"/>
      <c r="F407" s="215"/>
      <c r="G407" s="215"/>
      <c r="H407" s="215"/>
      <c r="I407" s="215"/>
      <c r="J407" s="215"/>
      <c r="K407" s="215"/>
      <c r="L407" s="5"/>
      <c r="M407" s="5"/>
    </row>
    <row r="408" spans="2:23" x14ac:dyDescent="0.25">
      <c r="B408" s="215" t="s">
        <v>89</v>
      </c>
      <c r="C408" s="215"/>
      <c r="D408" s="215"/>
      <c r="E408" s="215"/>
      <c r="F408" s="215"/>
      <c r="G408" s="215"/>
      <c r="H408" s="215"/>
      <c r="I408" s="215"/>
      <c r="J408" s="215"/>
      <c r="K408" s="215"/>
      <c r="L408" s="5"/>
      <c r="M408" s="5"/>
    </row>
    <row r="410" spans="2:23" ht="82.8" x14ac:dyDescent="0.25">
      <c r="B410" s="118" t="s">
        <v>2</v>
      </c>
      <c r="C410" s="118" t="s">
        <v>3</v>
      </c>
      <c r="D410" s="118" t="s">
        <v>4</v>
      </c>
      <c r="E410" s="119" t="s">
        <v>5</v>
      </c>
      <c r="F410" s="119" t="s">
        <v>6</v>
      </c>
      <c r="G410" s="119" t="s">
        <v>7</v>
      </c>
      <c r="H410" s="119" t="s">
        <v>8</v>
      </c>
      <c r="I410" s="119" t="s">
        <v>9</v>
      </c>
      <c r="J410" s="120" t="s">
        <v>10</v>
      </c>
      <c r="K410" s="119" t="s">
        <v>90</v>
      </c>
      <c r="L410" s="19"/>
      <c r="M410" s="19"/>
      <c r="N410" s="5"/>
      <c r="O410" s="5"/>
      <c r="P410" s="5"/>
      <c r="Q410" s="4"/>
      <c r="R410" s="4"/>
      <c r="S410" s="5"/>
      <c r="T410" s="5"/>
    </row>
    <row r="411" spans="2:23" x14ac:dyDescent="0.25">
      <c r="B411" s="121" t="s">
        <v>17</v>
      </c>
      <c r="C411" s="121" t="s">
        <v>18</v>
      </c>
      <c r="D411" s="121" t="s">
        <v>19</v>
      </c>
      <c r="E411" s="121" t="s">
        <v>20</v>
      </c>
      <c r="F411" s="121" t="s">
        <v>21</v>
      </c>
      <c r="G411" s="121" t="s">
        <v>22</v>
      </c>
      <c r="H411" s="122" t="s">
        <v>23</v>
      </c>
      <c r="I411" s="122" t="s">
        <v>24</v>
      </c>
      <c r="J411" s="123" t="s">
        <v>25</v>
      </c>
      <c r="K411" s="122" t="s">
        <v>26</v>
      </c>
      <c r="L411" s="132"/>
      <c r="M411" s="132"/>
      <c r="N411" s="5"/>
      <c r="O411" s="5"/>
      <c r="P411" s="5"/>
      <c r="Q411" s="4"/>
      <c r="R411" s="4"/>
      <c r="S411" s="5"/>
      <c r="T411" s="5"/>
    </row>
    <row r="412" spans="2:23" ht="12" customHeight="1" x14ac:dyDescent="0.25">
      <c r="B412" s="124">
        <v>1</v>
      </c>
      <c r="C412" s="125" t="s">
        <v>27</v>
      </c>
      <c r="D412" s="125" t="s">
        <v>28</v>
      </c>
      <c r="E412" s="126">
        <v>0.68</v>
      </c>
      <c r="F412" s="127">
        <v>0.3</v>
      </c>
      <c r="G412" s="127">
        <f>E412+F412</f>
        <v>0.98</v>
      </c>
      <c r="H412" s="128" t="s">
        <v>29</v>
      </c>
      <c r="I412" s="129">
        <v>1</v>
      </c>
      <c r="J412" s="130">
        <v>581340</v>
      </c>
      <c r="K412" s="131">
        <f t="shared" ref="K412:K425" si="74">I412*J412</f>
        <v>581340</v>
      </c>
      <c r="L412" s="139"/>
      <c r="M412" s="139"/>
    </row>
    <row r="413" spans="2:23" s="13" customFormat="1" ht="95.25" customHeight="1" x14ac:dyDescent="0.3">
      <c r="B413" s="124">
        <v>2</v>
      </c>
      <c r="C413" s="125" t="s">
        <v>30</v>
      </c>
      <c r="D413" s="125" t="s">
        <v>31</v>
      </c>
      <c r="E413" s="126">
        <v>0.62</v>
      </c>
      <c r="F413" s="127">
        <v>0.3</v>
      </c>
      <c r="G413" s="127">
        <f t="shared" ref="G413:G425" si="75">E413+F413</f>
        <v>0.91999999999999993</v>
      </c>
      <c r="H413" s="128" t="s">
        <v>29</v>
      </c>
      <c r="I413" s="129">
        <v>1</v>
      </c>
      <c r="J413" s="130">
        <v>502660</v>
      </c>
      <c r="K413" s="131">
        <f t="shared" si="74"/>
        <v>502660</v>
      </c>
      <c r="L413" s="139"/>
      <c r="M413" s="139"/>
      <c r="N413" s="19"/>
      <c r="O413" s="19"/>
      <c r="P413" s="19"/>
      <c r="Q413" s="18"/>
      <c r="R413" s="18"/>
      <c r="S413" s="19" t="s">
        <v>12</v>
      </c>
      <c r="T413" s="19" t="s">
        <v>13</v>
      </c>
      <c r="U413" s="20" t="s">
        <v>14</v>
      </c>
      <c r="V413" s="21" t="s">
        <v>15</v>
      </c>
      <c r="W413" s="20" t="s">
        <v>16</v>
      </c>
    </row>
    <row r="414" spans="2:23" s="134" customFormat="1" ht="15" customHeight="1" x14ac:dyDescent="0.3">
      <c r="B414" s="124">
        <v>3</v>
      </c>
      <c r="C414" s="125" t="s">
        <v>33</v>
      </c>
      <c r="D414" s="125" t="s">
        <v>34</v>
      </c>
      <c r="E414" s="126">
        <v>0.65</v>
      </c>
      <c r="F414" s="127">
        <v>0.3</v>
      </c>
      <c r="G414" s="127">
        <f t="shared" si="75"/>
        <v>0.95</v>
      </c>
      <c r="H414" s="128" t="s">
        <v>29</v>
      </c>
      <c r="I414" s="129">
        <v>1</v>
      </c>
      <c r="J414" s="130">
        <v>502660</v>
      </c>
      <c r="K414" s="131">
        <f t="shared" si="74"/>
        <v>502660</v>
      </c>
      <c r="L414" s="139"/>
      <c r="M414" s="139"/>
      <c r="N414" s="132"/>
      <c r="O414" s="132"/>
      <c r="P414" s="132"/>
      <c r="Q414" s="133"/>
      <c r="R414" s="133"/>
      <c r="S414" s="132"/>
      <c r="T414" s="132"/>
    </row>
    <row r="415" spans="2:23" ht="17.25" customHeight="1" x14ac:dyDescent="0.3">
      <c r="B415" s="135">
        <v>4</v>
      </c>
      <c r="C415" s="128" t="s">
        <v>39</v>
      </c>
      <c r="D415" s="128" t="s">
        <v>40</v>
      </c>
      <c r="E415" s="126">
        <v>0.64</v>
      </c>
      <c r="F415" s="136">
        <v>0.28999999999999998</v>
      </c>
      <c r="G415" s="127">
        <f t="shared" si="75"/>
        <v>0.92999999999999994</v>
      </c>
      <c r="H415" s="128" t="s">
        <v>29</v>
      </c>
      <c r="I415" s="129">
        <v>1</v>
      </c>
      <c r="J415" s="137">
        <v>502660</v>
      </c>
      <c r="K415" s="138">
        <f t="shared" si="74"/>
        <v>502660</v>
      </c>
      <c r="L415" s="146"/>
      <c r="M415" s="146"/>
      <c r="N415" s="139"/>
      <c r="O415" s="139"/>
      <c r="P415" s="139"/>
      <c r="Q415" s="40"/>
      <c r="R415" s="40"/>
      <c r="S415" s="41">
        <v>0.97499999999999998</v>
      </c>
      <c r="T415">
        <v>100</v>
      </c>
      <c r="U415" s="1">
        <f t="shared" ref="U415:U428" si="76">S415*70</f>
        <v>68.25</v>
      </c>
      <c r="V415" s="1">
        <f>T415*30</f>
        <v>3000</v>
      </c>
      <c r="W415" s="43"/>
    </row>
    <row r="416" spans="2:23" ht="17.25" customHeight="1" x14ac:dyDescent="0.3">
      <c r="B416" s="140">
        <v>5</v>
      </c>
      <c r="C416" s="141" t="s">
        <v>42</v>
      </c>
      <c r="D416" s="141" t="s">
        <v>43</v>
      </c>
      <c r="E416" s="142">
        <v>0</v>
      </c>
      <c r="F416" s="136">
        <v>0.3</v>
      </c>
      <c r="G416" s="136">
        <f t="shared" si="75"/>
        <v>0.3</v>
      </c>
      <c r="H416" s="128" t="s">
        <v>44</v>
      </c>
      <c r="I416" s="143">
        <v>0.1</v>
      </c>
      <c r="J416" s="137">
        <v>502660</v>
      </c>
      <c r="K416" s="144">
        <f t="shared" si="74"/>
        <v>50266</v>
      </c>
      <c r="L416" s="147"/>
      <c r="M416" s="147"/>
      <c r="N416" s="139"/>
      <c r="O416" s="139"/>
      <c r="P416" s="139"/>
      <c r="Q416" s="40"/>
      <c r="R416" s="40"/>
      <c r="S416" s="41">
        <v>0.89</v>
      </c>
      <c r="T416">
        <v>100</v>
      </c>
      <c r="U416" s="1">
        <f t="shared" si="76"/>
        <v>62.300000000000004</v>
      </c>
      <c r="V416" s="1">
        <f t="shared" ref="V416:V428" si="77">T416*30</f>
        <v>3000</v>
      </c>
      <c r="W416" s="43"/>
    </row>
    <row r="417" spans="2:27" ht="17.25" customHeight="1" x14ac:dyDescent="0.3">
      <c r="B417" s="124">
        <v>6</v>
      </c>
      <c r="C417" s="125" t="s">
        <v>46</v>
      </c>
      <c r="D417" s="125" t="s">
        <v>47</v>
      </c>
      <c r="E417" s="126">
        <v>0.49</v>
      </c>
      <c r="F417" s="127">
        <v>0.22500000000000001</v>
      </c>
      <c r="G417" s="127">
        <f t="shared" si="75"/>
        <v>0.71499999999999997</v>
      </c>
      <c r="H417" s="145" t="s">
        <v>35</v>
      </c>
      <c r="I417" s="129">
        <v>0.7</v>
      </c>
      <c r="J417" s="130">
        <v>502660</v>
      </c>
      <c r="K417" s="131">
        <f t="shared" si="74"/>
        <v>351862</v>
      </c>
      <c r="L417" s="139"/>
      <c r="M417" s="139"/>
      <c r="N417" s="139"/>
      <c r="O417" s="139"/>
      <c r="P417" s="139"/>
      <c r="Q417" s="40"/>
      <c r="R417" s="40"/>
      <c r="S417" s="41">
        <v>0.92300000000000004</v>
      </c>
      <c r="T417">
        <v>100</v>
      </c>
      <c r="U417" s="1">
        <f t="shared" si="76"/>
        <v>64.61</v>
      </c>
      <c r="V417" s="1">
        <f t="shared" si="77"/>
        <v>3000</v>
      </c>
      <c r="W417" s="43"/>
      <c r="Y417" s="102" t="s">
        <v>36</v>
      </c>
      <c r="Z417" s="103" t="s">
        <v>37</v>
      </c>
      <c r="AA417" s="103" t="s">
        <v>38</v>
      </c>
    </row>
    <row r="418" spans="2:27" s="50" customFormat="1" ht="17.25" customHeight="1" x14ac:dyDescent="0.3">
      <c r="B418" s="124">
        <v>7</v>
      </c>
      <c r="C418" s="125" t="s">
        <v>49</v>
      </c>
      <c r="D418" s="125" t="s">
        <v>50</v>
      </c>
      <c r="E418" s="126">
        <v>0.62</v>
      </c>
      <c r="F418" s="127">
        <v>0.15</v>
      </c>
      <c r="G418" s="127">
        <f t="shared" si="75"/>
        <v>0.77</v>
      </c>
      <c r="H418" s="145" t="s">
        <v>35</v>
      </c>
      <c r="I418" s="129">
        <v>0.7</v>
      </c>
      <c r="J418" s="130">
        <v>437100</v>
      </c>
      <c r="K418" s="131">
        <f t="shared" si="74"/>
        <v>305970</v>
      </c>
      <c r="L418" s="139"/>
      <c r="M418" s="139"/>
      <c r="N418" s="146"/>
      <c r="O418" s="146"/>
      <c r="P418" s="146"/>
      <c r="Q418" s="51"/>
      <c r="R418" s="51"/>
      <c r="S418" s="70">
        <v>0.91</v>
      </c>
      <c r="T418">
        <v>97.2</v>
      </c>
      <c r="U418" s="1">
        <f t="shared" si="76"/>
        <v>63.7</v>
      </c>
      <c r="V418" s="1">
        <f t="shared" si="77"/>
        <v>2916</v>
      </c>
      <c r="W418" s="43"/>
      <c r="Y418" s="52" t="s">
        <v>41</v>
      </c>
      <c r="Z418" s="50" t="s">
        <v>29</v>
      </c>
      <c r="AA418" s="53">
        <v>1</v>
      </c>
    </row>
    <row r="419" spans="2:27" s="54" customFormat="1" ht="17.25" customHeight="1" x14ac:dyDescent="0.3">
      <c r="B419" s="124">
        <v>8</v>
      </c>
      <c r="C419" s="125" t="s">
        <v>53</v>
      </c>
      <c r="D419" s="125" t="s">
        <v>54</v>
      </c>
      <c r="E419" s="126">
        <v>0.7</v>
      </c>
      <c r="F419" s="127">
        <v>0.3</v>
      </c>
      <c r="G419" s="127">
        <f t="shared" si="75"/>
        <v>1</v>
      </c>
      <c r="H419" s="128" t="s">
        <v>29</v>
      </c>
      <c r="I419" s="129">
        <v>1</v>
      </c>
      <c r="J419" s="130">
        <v>437100</v>
      </c>
      <c r="K419" s="131">
        <f t="shared" si="74"/>
        <v>437100</v>
      </c>
      <c r="L419" s="139"/>
      <c r="M419" s="139"/>
      <c r="N419" s="147"/>
      <c r="O419" s="147"/>
      <c r="P419" s="147"/>
      <c r="Q419" s="57"/>
      <c r="R419" s="57"/>
      <c r="S419" s="58">
        <v>0</v>
      </c>
      <c r="T419">
        <v>100</v>
      </c>
      <c r="U419" s="50">
        <f t="shared" si="76"/>
        <v>0</v>
      </c>
      <c r="V419" s="1">
        <f t="shared" si="77"/>
        <v>3000</v>
      </c>
      <c r="W419" s="117"/>
      <c r="Y419" s="59" t="s">
        <v>45</v>
      </c>
      <c r="Z419" s="54" t="s">
        <v>32</v>
      </c>
      <c r="AA419" s="60">
        <v>0.9</v>
      </c>
    </row>
    <row r="420" spans="2:27" ht="17.25" customHeight="1" x14ac:dyDescent="0.3">
      <c r="B420" s="124">
        <v>9</v>
      </c>
      <c r="C420" s="125" t="s">
        <v>58</v>
      </c>
      <c r="D420" s="125" t="s">
        <v>59</v>
      </c>
      <c r="E420" s="126">
        <v>0.65</v>
      </c>
      <c r="F420" s="127">
        <v>0.1167</v>
      </c>
      <c r="G420" s="127">
        <f t="shared" si="75"/>
        <v>0.76670000000000005</v>
      </c>
      <c r="H420" s="128" t="s">
        <v>35</v>
      </c>
      <c r="I420" s="129">
        <v>0.7</v>
      </c>
      <c r="J420" s="130">
        <v>437100</v>
      </c>
      <c r="K420" s="131">
        <f t="shared" si="74"/>
        <v>305970</v>
      </c>
      <c r="L420" s="139"/>
      <c r="M420" s="139"/>
      <c r="N420" s="139"/>
      <c r="O420" s="139"/>
      <c r="P420" s="139"/>
      <c r="Q420" s="40"/>
      <c r="R420" s="40"/>
      <c r="S420" s="61">
        <v>0.7</v>
      </c>
      <c r="T420">
        <v>75</v>
      </c>
      <c r="U420" s="1">
        <f t="shared" si="76"/>
        <v>49</v>
      </c>
      <c r="V420" s="1">
        <f t="shared" si="77"/>
        <v>2250</v>
      </c>
      <c r="W420" s="43"/>
      <c r="Y420" s="62" t="s">
        <v>48</v>
      </c>
      <c r="Z420" s="1" t="s">
        <v>35</v>
      </c>
      <c r="AA420" s="63">
        <v>0.7</v>
      </c>
    </row>
    <row r="421" spans="2:27" ht="17.25" customHeight="1" x14ac:dyDescent="0.3">
      <c r="B421" s="124">
        <v>10</v>
      </c>
      <c r="C421" s="125" t="s">
        <v>60</v>
      </c>
      <c r="D421" s="125" t="s">
        <v>61</v>
      </c>
      <c r="E421" s="126">
        <v>0.67</v>
      </c>
      <c r="F421" s="127">
        <v>0.3</v>
      </c>
      <c r="G421" s="127">
        <f t="shared" si="75"/>
        <v>0.97</v>
      </c>
      <c r="H421" s="128" t="s">
        <v>29</v>
      </c>
      <c r="I421" s="129">
        <v>1</v>
      </c>
      <c r="J421" s="130">
        <v>437100</v>
      </c>
      <c r="K421" s="131">
        <f t="shared" si="74"/>
        <v>437100</v>
      </c>
      <c r="L421" s="139"/>
      <c r="M421" s="139"/>
      <c r="N421" s="139"/>
      <c r="O421" s="139"/>
      <c r="P421" s="139"/>
      <c r="Q421" s="40"/>
      <c r="R421" s="40"/>
      <c r="S421" s="41">
        <v>0.89</v>
      </c>
      <c r="T421">
        <v>50</v>
      </c>
      <c r="U421" s="1">
        <f t="shared" si="76"/>
        <v>62.300000000000004</v>
      </c>
      <c r="V421" s="1">
        <f t="shared" si="77"/>
        <v>1500</v>
      </c>
      <c r="W421" s="43"/>
      <c r="Y421" s="62" t="s">
        <v>51</v>
      </c>
      <c r="Z421" s="1" t="s">
        <v>52</v>
      </c>
      <c r="AA421" s="63">
        <v>0.4</v>
      </c>
    </row>
    <row r="422" spans="2:27" ht="17.25" customHeight="1" x14ac:dyDescent="0.3">
      <c r="B422" s="124">
        <v>11</v>
      </c>
      <c r="C422" s="125" t="s">
        <v>62</v>
      </c>
      <c r="D422" s="125" t="s">
        <v>63</v>
      </c>
      <c r="E422" s="126">
        <v>0.5</v>
      </c>
      <c r="F422" s="127">
        <v>0.26490000000000002</v>
      </c>
      <c r="G422" s="127">
        <f t="shared" si="75"/>
        <v>0.76490000000000002</v>
      </c>
      <c r="H422" s="145" t="s">
        <v>35</v>
      </c>
      <c r="I422" s="129">
        <v>0.7</v>
      </c>
      <c r="J422" s="130">
        <v>437100</v>
      </c>
      <c r="K422" s="131">
        <f t="shared" si="74"/>
        <v>305970</v>
      </c>
      <c r="L422" s="139"/>
      <c r="M422" s="139"/>
      <c r="N422" s="139"/>
      <c r="O422" s="139"/>
      <c r="P422" s="139"/>
      <c r="Q422" s="40"/>
      <c r="R422" s="40"/>
      <c r="S422" s="41">
        <v>1</v>
      </c>
      <c r="T422">
        <v>100</v>
      </c>
      <c r="U422" s="1">
        <f t="shared" si="76"/>
        <v>70</v>
      </c>
      <c r="V422" s="1">
        <f t="shared" si="77"/>
        <v>3000</v>
      </c>
      <c r="W422" s="43"/>
      <c r="Y422" s="62" t="s">
        <v>55</v>
      </c>
      <c r="Z422" s="1" t="s">
        <v>56</v>
      </c>
      <c r="AA422" s="63">
        <v>0.1</v>
      </c>
    </row>
    <row r="423" spans="2:27" ht="17.25" customHeight="1" x14ac:dyDescent="0.3">
      <c r="B423" s="124">
        <v>12</v>
      </c>
      <c r="C423" s="125" t="s">
        <v>64</v>
      </c>
      <c r="D423" s="125" t="s">
        <v>65</v>
      </c>
      <c r="E423" s="126">
        <v>0.65</v>
      </c>
      <c r="F423" s="127">
        <v>0.26</v>
      </c>
      <c r="G423" s="127">
        <f t="shared" si="75"/>
        <v>0.91</v>
      </c>
      <c r="H423" s="128" t="s">
        <v>29</v>
      </c>
      <c r="I423" s="129">
        <v>1</v>
      </c>
      <c r="J423" s="130">
        <v>437100</v>
      </c>
      <c r="K423" s="131">
        <f t="shared" si="74"/>
        <v>437100</v>
      </c>
      <c r="L423" s="139"/>
      <c r="M423" s="139"/>
      <c r="N423" s="139"/>
      <c r="O423" s="139"/>
      <c r="P423" s="139"/>
      <c r="Q423" s="40"/>
      <c r="R423" s="40"/>
      <c r="S423" s="41">
        <v>0.93</v>
      </c>
      <c r="T423">
        <v>38.9</v>
      </c>
      <c r="U423" s="1">
        <f t="shared" si="76"/>
        <v>65.100000000000009</v>
      </c>
      <c r="V423" s="1">
        <f t="shared" si="77"/>
        <v>1167</v>
      </c>
      <c r="W423" s="43"/>
      <c r="Y423" s="12"/>
    </row>
    <row r="424" spans="2:27" ht="17.25" customHeight="1" x14ac:dyDescent="0.3">
      <c r="B424" s="124">
        <v>13</v>
      </c>
      <c r="C424" s="125" t="s">
        <v>66</v>
      </c>
      <c r="D424" s="125" t="s">
        <v>67</v>
      </c>
      <c r="E424" s="126">
        <v>0.62</v>
      </c>
      <c r="F424" s="127">
        <v>0.25</v>
      </c>
      <c r="G424" s="127">
        <f t="shared" si="75"/>
        <v>0.87</v>
      </c>
      <c r="H424" s="128" t="s">
        <v>32</v>
      </c>
      <c r="I424" s="129">
        <v>0.9</v>
      </c>
      <c r="J424" s="130">
        <v>437100</v>
      </c>
      <c r="K424" s="131">
        <f t="shared" si="74"/>
        <v>393390</v>
      </c>
      <c r="L424" s="139"/>
      <c r="M424" s="139"/>
      <c r="N424" s="139"/>
      <c r="O424" s="139"/>
      <c r="P424" s="139"/>
      <c r="Q424" s="40"/>
      <c r="R424" s="40"/>
      <c r="S424" s="41">
        <v>0.96</v>
      </c>
      <c r="T424">
        <v>100</v>
      </c>
      <c r="U424" s="1">
        <f t="shared" si="76"/>
        <v>67.2</v>
      </c>
      <c r="V424" s="1">
        <f t="shared" si="77"/>
        <v>3000</v>
      </c>
      <c r="W424" s="43"/>
    </row>
    <row r="425" spans="2:27" ht="17.25" customHeight="1" x14ac:dyDescent="0.3">
      <c r="B425" s="124">
        <v>14</v>
      </c>
      <c r="C425" s="125" t="s">
        <v>68</v>
      </c>
      <c r="D425" s="125" t="s">
        <v>69</v>
      </c>
      <c r="E425" s="126">
        <v>0.68</v>
      </c>
      <c r="F425" s="127">
        <v>0.3</v>
      </c>
      <c r="G425" s="127">
        <f t="shared" si="75"/>
        <v>0.98</v>
      </c>
      <c r="H425" s="128" t="s">
        <v>29</v>
      </c>
      <c r="I425" s="129">
        <v>1</v>
      </c>
      <c r="J425" s="130">
        <v>437100</v>
      </c>
      <c r="K425" s="131">
        <f t="shared" si="74"/>
        <v>437100</v>
      </c>
      <c r="L425" s="139"/>
      <c r="M425" s="139"/>
      <c r="N425" s="139"/>
      <c r="O425" s="139"/>
      <c r="P425" s="139"/>
      <c r="Q425" s="40"/>
      <c r="R425" s="40"/>
      <c r="S425" s="41">
        <v>0.71</v>
      </c>
      <c r="T425">
        <v>88.3</v>
      </c>
      <c r="U425" s="1">
        <f t="shared" si="76"/>
        <v>49.699999999999996</v>
      </c>
      <c r="V425" s="1">
        <f t="shared" si="77"/>
        <v>2649</v>
      </c>
      <c r="W425" s="43"/>
    </row>
    <row r="426" spans="2:27" ht="17.25" customHeight="1" x14ac:dyDescent="0.3">
      <c r="B426" s="220"/>
      <c r="C426" s="221"/>
      <c r="D426" s="221"/>
      <c r="E426" s="221"/>
      <c r="F426" s="221"/>
      <c r="G426" s="222"/>
      <c r="H426" s="119"/>
      <c r="I426" s="119"/>
      <c r="J426" s="148">
        <f>SUM(J412:J425)</f>
        <v>6591440</v>
      </c>
      <c r="K426" s="148">
        <f>SUM(K412:K425)</f>
        <v>5551148</v>
      </c>
      <c r="L426" s="149"/>
      <c r="M426" s="149"/>
      <c r="N426" s="139"/>
      <c r="O426" s="139"/>
      <c r="P426" s="139"/>
      <c r="Q426" s="40"/>
      <c r="R426" s="40"/>
      <c r="S426" s="41">
        <v>0.93</v>
      </c>
      <c r="T426">
        <v>86.1</v>
      </c>
      <c r="U426" s="1">
        <f t="shared" si="76"/>
        <v>65.100000000000009</v>
      </c>
      <c r="V426" s="1">
        <f t="shared" si="77"/>
        <v>2583</v>
      </c>
      <c r="W426" s="43"/>
    </row>
    <row r="427" spans="2:27" ht="17.25" customHeight="1" x14ac:dyDescent="0.3">
      <c r="G427" s="63"/>
      <c r="N427" s="139"/>
      <c r="O427" s="139"/>
      <c r="P427" s="139"/>
      <c r="Q427" s="40"/>
      <c r="R427" s="40"/>
      <c r="S427" s="41">
        <v>0.89</v>
      </c>
      <c r="T427">
        <v>83.3</v>
      </c>
      <c r="U427" s="1">
        <f t="shared" si="76"/>
        <v>62.300000000000004</v>
      </c>
      <c r="V427" s="1">
        <f t="shared" si="77"/>
        <v>2499</v>
      </c>
      <c r="W427" s="43"/>
    </row>
    <row r="428" spans="2:27" ht="17.25" customHeight="1" x14ac:dyDescent="0.3">
      <c r="I428" s="223" t="s">
        <v>86</v>
      </c>
      <c r="J428" s="223"/>
      <c r="N428" s="139"/>
      <c r="O428" s="139"/>
      <c r="P428" s="139"/>
      <c r="Q428" s="40"/>
      <c r="R428" s="40"/>
      <c r="S428" s="41">
        <v>0.97</v>
      </c>
      <c r="T428">
        <v>100</v>
      </c>
      <c r="U428" s="1">
        <f t="shared" si="76"/>
        <v>67.899999999999991</v>
      </c>
      <c r="V428" s="1">
        <f t="shared" si="77"/>
        <v>3000</v>
      </c>
      <c r="W428" s="43"/>
    </row>
    <row r="429" spans="2:27" s="109" customFormat="1" ht="20.25" customHeight="1" x14ac:dyDescent="0.25">
      <c r="B429" s="62"/>
      <c r="C429" s="1"/>
      <c r="D429" s="1"/>
      <c r="E429" s="63"/>
      <c r="F429" s="1"/>
      <c r="G429" s="1"/>
      <c r="H429" s="85"/>
      <c r="I429" s="223" t="s">
        <v>87</v>
      </c>
      <c r="J429" s="223"/>
      <c r="K429" s="1"/>
      <c r="L429" s="1"/>
      <c r="M429" s="1"/>
      <c r="N429" s="149"/>
      <c r="O429" s="149"/>
      <c r="P429" s="149"/>
      <c r="Q429" s="107"/>
      <c r="R429" s="107"/>
      <c r="S429" s="1"/>
      <c r="T429" s="1"/>
      <c r="U429" s="1"/>
      <c r="V429" s="1"/>
      <c r="W429" s="108"/>
    </row>
    <row r="430" spans="2:27" ht="12" customHeight="1" x14ac:dyDescent="0.25"/>
    <row r="433" spans="7:10" x14ac:dyDescent="0.25">
      <c r="I433" s="224" t="s">
        <v>71</v>
      </c>
      <c r="J433" s="224"/>
    </row>
    <row r="436" spans="7:10" x14ac:dyDescent="0.25">
      <c r="G436" s="85"/>
      <c r="I436" s="86"/>
      <c r="J436" s="1"/>
    </row>
    <row r="437" spans="7:10" x14ac:dyDescent="0.25">
      <c r="G437" s="85"/>
      <c r="I437" s="86"/>
      <c r="J437" s="1"/>
    </row>
    <row r="438" spans="7:10" x14ac:dyDescent="0.25">
      <c r="G438" s="85"/>
      <c r="I438" s="86"/>
      <c r="J438" s="1"/>
    </row>
    <row r="439" spans="7:10" x14ac:dyDescent="0.25">
      <c r="G439" s="85"/>
      <c r="I439" s="86"/>
      <c r="J439" s="1"/>
    </row>
    <row r="440" spans="7:10" x14ac:dyDescent="0.25">
      <c r="G440" s="85"/>
      <c r="I440" s="86"/>
      <c r="J440" s="1"/>
    </row>
    <row r="441" spans="7:10" x14ac:dyDescent="0.25">
      <c r="G441" s="85"/>
      <c r="I441" s="86"/>
      <c r="J441" s="1"/>
    </row>
    <row r="442" spans="7:10" x14ac:dyDescent="0.25">
      <c r="G442" s="85"/>
      <c r="I442" s="86"/>
      <c r="J442" s="1"/>
    </row>
    <row r="443" spans="7:10" x14ac:dyDescent="0.25">
      <c r="G443" s="85"/>
      <c r="I443" s="86"/>
      <c r="J443" s="1"/>
    </row>
    <row r="444" spans="7:10" x14ac:dyDescent="0.25">
      <c r="G444" s="85"/>
      <c r="I444" s="86"/>
      <c r="J444" s="1"/>
    </row>
    <row r="445" spans="7:10" x14ac:dyDescent="0.25">
      <c r="G445" s="85"/>
      <c r="I445" s="86"/>
      <c r="J445" s="1"/>
    </row>
    <row r="446" spans="7:10" x14ac:dyDescent="0.25">
      <c r="G446" s="85"/>
      <c r="I446" s="86"/>
      <c r="J446" s="1"/>
    </row>
    <row r="447" spans="7:10" x14ac:dyDescent="0.25">
      <c r="G447" s="85"/>
      <c r="I447" s="86"/>
      <c r="J447" s="1"/>
    </row>
    <row r="448" spans="7:10" x14ac:dyDescent="0.25">
      <c r="G448" s="85"/>
      <c r="I448" s="86"/>
      <c r="J448" s="1"/>
    </row>
    <row r="449" spans="7:27" x14ac:dyDescent="0.25">
      <c r="G449" s="85"/>
      <c r="I449" s="86"/>
      <c r="J449" s="1"/>
    </row>
    <row r="450" spans="7:27" x14ac:dyDescent="0.25">
      <c r="G450" s="85"/>
      <c r="I450" s="86"/>
      <c r="J450" s="1"/>
    </row>
    <row r="451" spans="7:27" x14ac:dyDescent="0.25">
      <c r="G451" s="85"/>
      <c r="I451" s="86"/>
      <c r="J451" s="1"/>
    </row>
    <row r="452" spans="7:27" x14ac:dyDescent="0.25">
      <c r="G452" s="85"/>
      <c r="I452" s="86"/>
      <c r="J452" s="1"/>
    </row>
    <row r="453" spans="7:27" x14ac:dyDescent="0.25">
      <c r="G453" s="85"/>
      <c r="I453" s="86"/>
      <c r="J453" s="1"/>
    </row>
    <row r="454" spans="7:27" x14ac:dyDescent="0.25">
      <c r="G454" s="85"/>
      <c r="I454" s="86"/>
      <c r="J454" s="1"/>
    </row>
    <row r="460" spans="7:27" x14ac:dyDescent="0.25">
      <c r="AA460" s="1" t="e">
        <f>#REF!/17</f>
        <v>#REF!</v>
      </c>
    </row>
    <row r="461" spans="7:27" x14ac:dyDescent="0.25">
      <c r="AA461" s="63">
        <v>0.85</v>
      </c>
    </row>
  </sheetData>
  <mergeCells count="54">
    <mergeCell ref="B408:K408"/>
    <mergeCell ref="B426:G426"/>
    <mergeCell ref="I428:J428"/>
    <mergeCell ref="I429:J429"/>
    <mergeCell ref="I433:J433"/>
    <mergeCell ref="B407:K407"/>
    <mergeCell ref="B320:K320"/>
    <mergeCell ref="B338:G338"/>
    <mergeCell ref="I340:J340"/>
    <mergeCell ref="I341:J341"/>
    <mergeCell ref="I345:J345"/>
    <mergeCell ref="B363:K363"/>
    <mergeCell ref="B364:K364"/>
    <mergeCell ref="B382:G382"/>
    <mergeCell ref="I384:J384"/>
    <mergeCell ref="I385:J385"/>
    <mergeCell ref="I389:J389"/>
    <mergeCell ref="B319:K319"/>
    <mergeCell ref="E221:F221"/>
    <mergeCell ref="B239:K239"/>
    <mergeCell ref="B240:K240"/>
    <mergeCell ref="I260:J260"/>
    <mergeCell ref="I261:J261"/>
    <mergeCell ref="I265:J265"/>
    <mergeCell ref="B271:K271"/>
    <mergeCell ref="B272:K272"/>
    <mergeCell ref="I292:J292"/>
    <mergeCell ref="I293:J293"/>
    <mergeCell ref="I297:J297"/>
    <mergeCell ref="E217:F217"/>
    <mergeCell ref="I136:J136"/>
    <mergeCell ref="I137:J137"/>
    <mergeCell ref="I141:J141"/>
    <mergeCell ref="B158:K158"/>
    <mergeCell ref="B159:K159"/>
    <mergeCell ref="I179:J179"/>
    <mergeCell ref="I180:J180"/>
    <mergeCell ref="I184:J184"/>
    <mergeCell ref="B195:K195"/>
    <mergeCell ref="B196:K196"/>
    <mergeCell ref="E216:F216"/>
    <mergeCell ref="Q5:S5"/>
    <mergeCell ref="B114:K114"/>
    <mergeCell ref="B1:K1"/>
    <mergeCell ref="B2:K2"/>
    <mergeCell ref="I23:J23"/>
    <mergeCell ref="I24:J24"/>
    <mergeCell ref="I28:J28"/>
    <mergeCell ref="B64:K64"/>
    <mergeCell ref="B65:K65"/>
    <mergeCell ref="I86:J86"/>
    <mergeCell ref="I87:J87"/>
    <mergeCell ref="I91:J91"/>
    <mergeCell ref="B113:K113"/>
  </mergeCells>
  <pageMargins left="0.84" right="0.14000000000000001" top="0.28999999999999998" bottom="0.75" header="0.3" footer="0.75"/>
  <pageSetup paperSize="5" scale="91" orientation="landscape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simulasi perhitungan</vt:lpstr>
      <vt:lpstr>'simulasi perhitungan'!Print_Area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6</dc:creator>
  <cp:lastModifiedBy>Administrator</cp:lastModifiedBy>
  <dcterms:created xsi:type="dcterms:W3CDTF">2026-08-06T04:35:28Z</dcterms:created>
  <dcterms:modified xsi:type="dcterms:W3CDTF">2026-08-28T03:38:51Z</dcterms:modified>
</cp:coreProperties>
</file>